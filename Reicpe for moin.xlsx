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iche" sheetId="1" r:id="rId5"/>
    <sheet state="visible" name="Aiko" sheetId="2" r:id="rId6"/>
  </sheets>
  <definedNames/>
  <calcPr/>
</workbook>
</file>

<file path=xl/sharedStrings.xml><?xml version="1.0" encoding="utf-8"?>
<sst xmlns="http://schemas.openxmlformats.org/spreadsheetml/2006/main" count="661" uniqueCount="302">
  <si>
    <t>Prime Hulk  Pizza 24.52%</t>
  </si>
  <si>
    <t>Third Wave Pizza 23.45%</t>
  </si>
  <si>
    <t>New Alfredo Fettuccine pasta 10.71%</t>
  </si>
  <si>
    <t>New POMODORO 13.84%</t>
  </si>
  <si>
    <t xml:space="preserve">Tiramisu </t>
  </si>
  <si>
    <t>Ingredients</t>
  </si>
  <si>
    <t>Gram</t>
  </si>
  <si>
    <t>Cost</t>
  </si>
  <si>
    <t>Pizza Dough</t>
  </si>
  <si>
    <t>Butter</t>
  </si>
  <si>
    <t>Olive Oil</t>
  </si>
  <si>
    <t xml:space="preserve">final plating </t>
  </si>
  <si>
    <t>Mozzarella Grated</t>
  </si>
  <si>
    <t>Basil Pomodoro Sauce</t>
  </si>
  <si>
    <t>Bechamel sauce</t>
  </si>
  <si>
    <t>Confit Onion</t>
  </si>
  <si>
    <t>Component</t>
  </si>
  <si>
    <t>Quantity (g)</t>
  </si>
  <si>
    <t>Cost (₹)</t>
  </si>
  <si>
    <t xml:space="preserve"> Green Sriracha Sauce</t>
  </si>
  <si>
    <t>Salt</t>
  </si>
  <si>
    <t>Confit Garlic</t>
  </si>
  <si>
    <t>Vanilla Sponge</t>
  </si>
  <si>
    <t>Amul Fresh Cream</t>
  </si>
  <si>
    <t>Boiled Broccoli</t>
  </si>
  <si>
    <t>Black Paper</t>
  </si>
  <si>
    <t>Coffee Soak</t>
  </si>
  <si>
    <t>Basil Pesto</t>
  </si>
  <si>
    <t>Peeled Garlic</t>
  </si>
  <si>
    <t>Parsley</t>
  </si>
  <si>
    <t>Black Pepper</t>
  </si>
  <si>
    <t>Tiramisu Mix</t>
  </si>
  <si>
    <t>Ghost Peper</t>
  </si>
  <si>
    <t>Red paprika sliced</t>
  </si>
  <si>
    <t>Thyme</t>
  </si>
  <si>
    <t>Biscuit Soak / Coffee Syrup</t>
  </si>
  <si>
    <t>Buffalo Mozrella</t>
  </si>
  <si>
    <t>Jalapenos</t>
  </si>
  <si>
    <t>Fettuccine pasta</t>
  </si>
  <si>
    <t>Pomodoro Sauce</t>
  </si>
  <si>
    <t>Coffee Cream</t>
  </si>
  <si>
    <t>Sour cream</t>
  </si>
  <si>
    <t>Chilli Crisp</t>
  </si>
  <si>
    <t xml:space="preserve">Parmesan </t>
  </si>
  <si>
    <t>Boiled Spaghetti Pasta</t>
  </si>
  <si>
    <t>Chocolate Crisp</t>
  </si>
  <si>
    <t>Rice flour</t>
  </si>
  <si>
    <t>Garnish</t>
  </si>
  <si>
    <t>Chilli Flakes</t>
  </si>
  <si>
    <t>Cocoa Powder Dust</t>
  </si>
  <si>
    <t>Total</t>
  </si>
  <si>
    <t>Parmesan</t>
  </si>
  <si>
    <t>Subtotal</t>
  </si>
  <si>
    <t>Wastage</t>
  </si>
  <si>
    <t>Chunkey chimmchuri</t>
  </si>
  <si>
    <t>Basil leaves</t>
  </si>
  <si>
    <t>Wastage @ 5%</t>
  </si>
  <si>
    <t>Fried leeks</t>
  </si>
  <si>
    <t>Pangrattato</t>
  </si>
  <si>
    <t>Total Cost</t>
  </si>
  <si>
    <t>Kalonji seeds</t>
  </si>
  <si>
    <t xml:space="preserve">VANILLA SPONGE UPDATED </t>
  </si>
  <si>
    <t>Ingredient</t>
  </si>
  <si>
    <t>Sriracha Sauce</t>
  </si>
  <si>
    <t>Oil</t>
  </si>
  <si>
    <t>Garlic</t>
  </si>
  <si>
    <t>Dried Red Chilli</t>
  </si>
  <si>
    <t>Milkmaid</t>
  </si>
  <si>
    <t>Madhur Sugar</t>
  </si>
  <si>
    <t>Onions Chopped</t>
  </si>
  <si>
    <t>New chunky chimichurri</t>
  </si>
  <si>
    <t xml:space="preserve">Breadcrumbs </t>
  </si>
  <si>
    <t>Milk</t>
  </si>
  <si>
    <t>White Vinegar</t>
  </si>
  <si>
    <t>Citric Acid</t>
  </si>
  <si>
    <t>Glucose syrup</t>
  </si>
  <si>
    <t>Ginger Chopped</t>
  </si>
  <si>
    <t xml:space="preserve">Smoke paprika </t>
  </si>
  <si>
    <t>Flour</t>
  </si>
  <si>
    <t>Fermented green chilli</t>
  </si>
  <si>
    <t>Garlic Chopped</t>
  </si>
  <si>
    <t>Coriander</t>
  </si>
  <si>
    <t>Cornflour</t>
  </si>
  <si>
    <t>Sugar</t>
  </si>
  <si>
    <t xml:space="preserve">Mint </t>
  </si>
  <si>
    <t xml:space="preserve">Black pepper </t>
  </si>
  <si>
    <t>Milk powder</t>
  </si>
  <si>
    <t>Msg</t>
  </si>
  <si>
    <t>Dry Thyme</t>
  </si>
  <si>
    <t>Baking soda</t>
  </si>
  <si>
    <t>Sunflower oil</t>
  </si>
  <si>
    <t xml:space="preserve">Green chilli </t>
  </si>
  <si>
    <t xml:space="preserve">Parsley </t>
  </si>
  <si>
    <t>Baking powder</t>
  </si>
  <si>
    <t>Onion</t>
  </si>
  <si>
    <t>Olive oil</t>
  </si>
  <si>
    <t>Spring onion</t>
  </si>
  <si>
    <t>Vanilla essence</t>
  </si>
  <si>
    <t>Indian green chilli</t>
  </si>
  <si>
    <t xml:space="preserve">Total </t>
  </si>
  <si>
    <t xml:space="preserve">Salt </t>
  </si>
  <si>
    <t>Third Wave Pizza pkg</t>
  </si>
  <si>
    <t>Package Item</t>
  </si>
  <si>
    <t>Rate (₹)</t>
  </si>
  <si>
    <t xml:space="preserve">Sugar </t>
  </si>
  <si>
    <t>Tiramisu jelly</t>
  </si>
  <si>
    <t>15 Inch Box</t>
  </si>
  <si>
    <t>Chilli Flakes × 2</t>
  </si>
  <si>
    <t>Capers</t>
  </si>
  <si>
    <t>Chopped onion</t>
  </si>
  <si>
    <t>Oregano × 2</t>
  </si>
  <si>
    <t>Oregano</t>
  </si>
  <si>
    <t>Castor Sugar</t>
  </si>
  <si>
    <t>Sticker Tag</t>
  </si>
  <si>
    <t>Icing Sugar</t>
  </si>
  <si>
    <t>In house cream cheese</t>
  </si>
  <si>
    <t>Pizza Liner (15 Inch)</t>
  </si>
  <si>
    <t>Lemon juice</t>
  </si>
  <si>
    <t>Cornstarch</t>
  </si>
  <si>
    <t>Amul gold milk</t>
  </si>
  <si>
    <t>Tissue Paper</t>
  </si>
  <si>
    <t>Basil</t>
  </si>
  <si>
    <t>Agar Agar</t>
  </si>
  <si>
    <t>₹33.04</t>
  </si>
  <si>
    <t>Chopped garlic</t>
  </si>
  <si>
    <t>Callebaut gold ganache</t>
  </si>
  <si>
    <t>Hydroponic basil Pesto</t>
  </si>
  <si>
    <t>Gold Callebaut</t>
  </si>
  <si>
    <t>Amul butter</t>
  </si>
  <si>
    <t>Fresh Cream</t>
  </si>
  <si>
    <t xml:space="preserve">Almond </t>
  </si>
  <si>
    <t xml:space="preserve">Amul gold </t>
  </si>
  <si>
    <t>Garlic powder</t>
  </si>
  <si>
    <t>POMODORO  pkg</t>
  </si>
  <si>
    <t>Onion powder</t>
  </si>
  <si>
    <t>Ice</t>
  </si>
  <si>
    <t xml:space="preserve">Maida </t>
  </si>
  <si>
    <t>750 ml Container (White)</t>
  </si>
  <si>
    <t>Wooden Spork</t>
  </si>
  <si>
    <t>Tiramisu Jelly</t>
  </si>
  <si>
    <t>Tissue Paper × 2</t>
  </si>
  <si>
    <t>Gold Ganache</t>
  </si>
  <si>
    <t>Capiche Takeaway Bag</t>
  </si>
  <si>
    <t>Mascarpone Cheese</t>
  </si>
  <si>
    <t>Alfredo pkg</t>
  </si>
  <si>
    <t>Capiche Sticker</t>
  </si>
  <si>
    <t>Whipped Cream</t>
  </si>
  <si>
    <t>Hulk pkg</t>
  </si>
  <si>
    <t>₹33.34</t>
  </si>
  <si>
    <t>Coffee cream</t>
  </si>
  <si>
    <t>Nescafe Gold</t>
  </si>
  <si>
    <t>Coffee syrup</t>
  </si>
  <si>
    <t>Water</t>
  </si>
  <si>
    <t>Flour / Maida</t>
  </si>
  <si>
    <t>Cocoa powder</t>
  </si>
  <si>
    <t>250 ml Container (White)</t>
  </si>
  <si>
    <t>Spoon</t>
  </si>
  <si>
    <t>Dip Bowl</t>
  </si>
  <si>
    <t>₹26.19</t>
  </si>
  <si>
    <t>Truffle mushroom rice 34.70%</t>
  </si>
  <si>
    <t>Tteokbokki 20.11%</t>
  </si>
  <si>
    <t>Thai curry 22.67%</t>
  </si>
  <si>
    <t>Drunken Noodles 5.35%</t>
  </si>
  <si>
    <t>MILLIE FEUILLE</t>
  </si>
  <si>
    <t>Dragon roll 12%</t>
  </si>
  <si>
    <t>Cheese &amp; Chilli Dumplings 5 pcs 22.14%</t>
  </si>
  <si>
    <t>Zucchini</t>
  </si>
  <si>
    <t>In house noodle</t>
  </si>
  <si>
    <t>Millie feuille Final Plating</t>
  </si>
  <si>
    <t>Nori Half sheet</t>
  </si>
  <si>
    <t>Button mushroom</t>
  </si>
  <si>
    <t>Rice cake 16 pcs</t>
  </si>
  <si>
    <t>Babycorn</t>
  </si>
  <si>
    <t>Sushi rice</t>
  </si>
  <si>
    <t>Non jain dough sheets</t>
  </si>
  <si>
    <t>Tteokbokki Sauce</t>
  </si>
  <si>
    <t xml:space="preserve">Bellpepper </t>
  </si>
  <si>
    <t>Bean sprouts</t>
  </si>
  <si>
    <t>Spring Roll Sheet</t>
  </si>
  <si>
    <t>Black seseme</t>
  </si>
  <si>
    <t xml:space="preserve">Cheese &amp; Chilli Dumplings Filing </t>
  </si>
  <si>
    <t>Cooked jasmin rice</t>
  </si>
  <si>
    <t>Mushroom</t>
  </si>
  <si>
    <t>Pista Butter</t>
  </si>
  <si>
    <t>White seseme</t>
  </si>
  <si>
    <t>Cheese &amp; Chilli Dumplings sauce</t>
  </si>
  <si>
    <t>Shimji mushroom</t>
  </si>
  <si>
    <t>Thai curry Paste</t>
  </si>
  <si>
    <t>Red chilli</t>
  </si>
  <si>
    <t>Vanilla Cream</t>
  </si>
  <si>
    <t>Cream cheese</t>
  </si>
  <si>
    <t>Fried onion</t>
  </si>
  <si>
    <t>Without pods edmame</t>
  </si>
  <si>
    <t>Coconut milk</t>
  </si>
  <si>
    <t>Raspberry Jam</t>
  </si>
  <si>
    <t>Red bell pepper Slice</t>
  </si>
  <si>
    <t>Red pickled Bhavnagari</t>
  </si>
  <si>
    <t>Spring onion sliced</t>
  </si>
  <si>
    <t>Peeled garlic</t>
  </si>
  <si>
    <t>Crushed Pisti</t>
  </si>
  <si>
    <t>Scallion oil</t>
  </si>
  <si>
    <t>Truffle pate and oil mix</t>
  </si>
  <si>
    <t>Fried garlic</t>
  </si>
  <si>
    <t xml:space="preserve">Podi powder </t>
  </si>
  <si>
    <t xml:space="preserve">Fried stem lotus </t>
  </si>
  <si>
    <t>Spring onion slit garnish</t>
  </si>
  <si>
    <t>White pepper</t>
  </si>
  <si>
    <t>Spicy mayo</t>
  </si>
  <si>
    <t>Stock powder</t>
  </si>
  <si>
    <t>Drunken sauce</t>
  </si>
  <si>
    <t>Dragon sauce</t>
  </si>
  <si>
    <t>White paper</t>
  </si>
  <si>
    <t>Stream Jasmine rice</t>
  </si>
  <si>
    <t>Ginger pickled</t>
  </si>
  <si>
    <t>Sesame mix</t>
  </si>
  <si>
    <t>Soy sauce</t>
  </si>
  <si>
    <t xml:space="preserve">Spring onion </t>
  </si>
  <si>
    <t>Lotus stem</t>
  </si>
  <si>
    <t>Wasabi paste</t>
  </si>
  <si>
    <t>Truffle mushroom sauce</t>
  </si>
  <si>
    <t xml:space="preserve">Scallion oil </t>
  </si>
  <si>
    <t>White morde</t>
  </si>
  <si>
    <t>Chilli oil</t>
  </si>
  <si>
    <t>Amul fresh cream</t>
  </si>
  <si>
    <t>Vanilla Bean Paste</t>
  </si>
  <si>
    <t>Tofu</t>
  </si>
  <si>
    <t>Mascarpone</t>
  </si>
  <si>
    <t>Chestnut (chopped)</t>
  </si>
  <si>
    <t>Tteokbokki sauce</t>
  </si>
  <si>
    <t>Oyster sauce</t>
  </si>
  <si>
    <t>Dark soy sauce</t>
  </si>
  <si>
    <t>Sunflower Oil</t>
  </si>
  <si>
    <t>Shao shing vineger</t>
  </si>
  <si>
    <t>Kashmiri Red Chilli Powder</t>
  </si>
  <si>
    <t>Basil (sliced)</t>
  </si>
  <si>
    <t>Chilli Bean Paste</t>
  </si>
  <si>
    <t>Plain Mayo</t>
  </si>
  <si>
    <t>Hot sauce</t>
  </si>
  <si>
    <t>Chilli bean sauce</t>
  </si>
  <si>
    <t>Gochujang</t>
  </si>
  <si>
    <t>Black pepper</t>
  </si>
  <si>
    <t>Frozen raspberry</t>
  </si>
  <si>
    <t>Shaoxing wine</t>
  </si>
  <si>
    <t>Sichuan pepper corn</t>
  </si>
  <si>
    <t>Green chilly</t>
  </si>
  <si>
    <t>Madhur sugar</t>
  </si>
  <si>
    <t>Caster Sugar</t>
  </si>
  <si>
    <t>Citric acid</t>
  </si>
  <si>
    <t>Stock Powder</t>
  </si>
  <si>
    <t>Coriander with strands</t>
  </si>
  <si>
    <t>Drunken Noodles Pkg</t>
  </si>
  <si>
    <t>Lemon grass</t>
  </si>
  <si>
    <t>Packaging Item</t>
  </si>
  <si>
    <t>Kafir lime</t>
  </si>
  <si>
    <t>1000 ml Round Container Transparent (RP)</t>
  </si>
  <si>
    <t>Ginger Paste</t>
  </si>
  <si>
    <t>Soy Sticker</t>
  </si>
  <si>
    <t>Garlic Paste</t>
  </si>
  <si>
    <t>Fork Spoon</t>
  </si>
  <si>
    <t>Pista</t>
  </si>
  <si>
    <t>Ginger</t>
  </si>
  <si>
    <t>Truffle pate</t>
  </si>
  <si>
    <t>Chopsticks</t>
  </si>
  <si>
    <t>Spinach</t>
  </si>
  <si>
    <t>Fresh Jalapenos</t>
  </si>
  <si>
    <t>Truffle oil</t>
  </si>
  <si>
    <t>Napkins × 2</t>
  </si>
  <si>
    <t>Amul Milk</t>
  </si>
  <si>
    <t>Green Bhavnagari chili</t>
  </si>
  <si>
    <t>AIKO Takeaway Bag</t>
  </si>
  <si>
    <t>Whipped cream</t>
  </si>
  <si>
    <t>Kaffir lime leaf</t>
  </si>
  <si>
    <t>Thai curry Pkg</t>
  </si>
  <si>
    <t>₹35.79</t>
  </si>
  <si>
    <t>Lemongrass</t>
  </si>
  <si>
    <t>Truffle mushroom rice Pkg</t>
  </si>
  <si>
    <t>Tteokbokki  Pkg</t>
  </si>
  <si>
    <t>Tomato</t>
  </si>
  <si>
    <t>500 ml Round Container Transparent (RP)</t>
  </si>
  <si>
    <t>500 ml White Paper Noodle Box</t>
  </si>
  <si>
    <t>Fermented red chilli</t>
  </si>
  <si>
    <t>Cumin powder</t>
  </si>
  <si>
    <t xml:space="preserve">Indian red chilli </t>
  </si>
  <si>
    <t>Hing (asafoetida)</t>
  </si>
  <si>
    <t>Rice vinegar</t>
  </si>
  <si>
    <t>₹33.84</t>
  </si>
  <si>
    <t>₹31.34</t>
  </si>
  <si>
    <t>₹40.62</t>
  </si>
  <si>
    <t>Classic Hot Sauce</t>
  </si>
  <si>
    <t>Coriander (fresh)</t>
  </si>
  <si>
    <t>White Spoon</t>
  </si>
  <si>
    <t>Fermented Red Chilli</t>
  </si>
  <si>
    <t>₹30.77</t>
  </si>
  <si>
    <t>Chopped Spring onion</t>
  </si>
  <si>
    <t xml:space="preserve">Dragon sauce (cooked) </t>
  </si>
  <si>
    <t>Sriracha</t>
  </si>
  <si>
    <t>Sweet chilli sauce</t>
  </si>
  <si>
    <t>Chilli bean</t>
  </si>
  <si>
    <t>Cheese &amp; Chilli Dumplings</t>
  </si>
  <si>
    <t>Dragon roll</t>
  </si>
  <si>
    <t>Dip 2 oz (50 ml) Round Container × 2</t>
  </si>
  <si>
    <t>₹39.33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</si>
</sst>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color rgb="FF222222"/>
      <name val="Arial"/>
    </font>
    <font/>
    <font>
      <b/>
      <color theme="1"/>
      <name val="Arial"/>
    </font>
    <font>
      <color theme="1"/>
      <name val="Arial"/>
    </font>
    <font>
      <b/>
      <i/>
      <color theme="1"/>
      <name val="Calibri"/>
    </font>
    <font>
      <b/>
      <i/>
      <sz val="11.0"/>
      <color theme="1"/>
      <name val="Calibri"/>
    </font>
    <font>
      <b/>
      <color theme="1"/>
      <name val="Calibri"/>
    </font>
    <font>
      <sz val="11.0"/>
      <color theme="1"/>
      <name val="Calibri"/>
    </font>
    <font>
      <color rgb="FF222222"/>
      <name val="Arial"/>
    </font>
    <font>
      <b/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222222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rgb="FF222222"/>
      <name val="Arial"/>
    </font>
    <font>
      <sz val="12.0"/>
      <color theme="1"/>
      <name val="Arial"/>
    </font>
    <font>
      <sz val="12.0"/>
      <color rgb="FF202124"/>
      <name val="Roboto"/>
    </font>
    <font>
      <sz val="11.0"/>
      <color rgb="FF202124"/>
      <name val="Roboto"/>
    </font>
    <font>
      <b/>
      <sz val="12.0"/>
      <color rgb="FF222222"/>
      <name val="Arial"/>
    </font>
    <font>
      <sz val="12.0"/>
      <color rgb="FF222222"/>
      <name val="Arial"/>
    </font>
    <font>
      <b/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vertical="bottom"/>
    </xf>
    <xf borderId="7" fillId="2" fontId="3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7" fillId="2" fontId="4" numFmtId="0" xfId="0" applyAlignment="1" applyBorder="1" applyFont="1">
      <alignment horizontal="center" shrinkToFit="0" vertical="bottom" wrapText="1"/>
    </xf>
    <xf borderId="7" fillId="2" fontId="4" numFmtId="0" xfId="0" applyAlignment="1" applyBorder="1" applyFont="1">
      <alignment horizontal="center" vertical="bottom"/>
    </xf>
    <xf borderId="7" fillId="2" fontId="3" numFmtId="0" xfId="0" applyAlignment="1" applyBorder="1" applyFont="1">
      <alignment horizontal="center" shrinkToFit="0" vertical="bottom" wrapText="1"/>
    </xf>
    <xf borderId="8" fillId="0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right" vertical="bottom"/>
    </xf>
    <xf borderId="8" fillId="0" fontId="4" numFmtId="0" xfId="0" applyAlignment="1" applyBorder="1" applyFont="1">
      <alignment vertical="bottom"/>
    </xf>
    <xf borderId="8" fillId="0" fontId="4" numFmtId="0" xfId="0" applyAlignment="1" applyBorder="1" applyFont="1">
      <alignment horizontal="right" vertical="bottom"/>
    </xf>
    <xf borderId="7" fillId="2" fontId="4" numFmtId="0" xfId="0" applyAlignment="1" applyBorder="1" applyFont="1">
      <alignment vertical="bottom"/>
    </xf>
    <xf borderId="7" fillId="2" fontId="5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horizontal="right" vertical="bottom"/>
    </xf>
    <xf borderId="7" fillId="2" fontId="6" numFmtId="0" xfId="0" applyAlignment="1" applyBorder="1" applyFont="1">
      <alignment horizontal="center" vertical="bottom"/>
    </xf>
    <xf borderId="7" fillId="2" fontId="6" numFmtId="9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  <xf borderId="7" fillId="2" fontId="3" numFmtId="2" xfId="0" applyAlignment="1" applyBorder="1" applyFont="1" applyNumberFormat="1">
      <alignment horizontal="center" vertical="bottom"/>
    </xf>
    <xf borderId="7" fillId="2" fontId="7" numFmtId="0" xfId="0" applyAlignment="1" applyBorder="1" applyFont="1">
      <alignment horizontal="center" shrinkToFit="0" vertical="bottom" wrapText="1"/>
    </xf>
    <xf borderId="7" fillId="2" fontId="4" numFmtId="2" xfId="0" applyAlignment="1" applyBorder="1" applyFont="1" applyNumberFormat="1">
      <alignment horizontal="center" vertical="bottom"/>
    </xf>
    <xf borderId="7" fillId="2" fontId="8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vertical="bottom"/>
    </xf>
    <xf borderId="7" fillId="2" fontId="9" numFmtId="0" xfId="0" applyAlignment="1" applyBorder="1" applyFont="1">
      <alignment horizontal="center" vertical="bottom"/>
    </xf>
    <xf borderId="3" fillId="2" fontId="4" numFmtId="0" xfId="0" applyAlignment="1" applyBorder="1" applyFont="1">
      <alignment horizontal="center" vertical="bottom"/>
    </xf>
    <xf borderId="9" fillId="2" fontId="3" numFmtId="0" xfId="0" applyAlignment="1" applyBorder="1" applyFont="1">
      <alignment horizontal="center" vertical="bottom"/>
    </xf>
    <xf borderId="10" fillId="2" fontId="3" numFmtId="0" xfId="0" applyAlignment="1" applyBorder="1" applyFont="1">
      <alignment horizontal="center" vertical="bottom"/>
    </xf>
    <xf borderId="7" fillId="2" fontId="8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7" fillId="2" fontId="10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right" vertical="bottom"/>
    </xf>
    <xf borderId="7" fillId="0" fontId="4" numFmtId="0" xfId="0" applyAlignment="1" applyBorder="1" applyFont="1">
      <alignment vertical="bottom"/>
    </xf>
    <xf borderId="7" fillId="0" fontId="4" numFmtId="0" xfId="0" applyAlignment="1" applyBorder="1" applyFont="1">
      <alignment horizontal="right" vertical="bottom"/>
    </xf>
    <xf borderId="7" fillId="2" fontId="4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7" fillId="0" fontId="11" numFmtId="0" xfId="0" applyAlignment="1" applyBorder="1" applyFont="1">
      <alignment horizontal="center" readingOrder="0"/>
    </xf>
    <xf borderId="7" fillId="0" fontId="11" numFmtId="0" xfId="0" applyAlignment="1" applyBorder="1" applyFont="1">
      <alignment horizontal="right" readingOrder="0"/>
    </xf>
    <xf borderId="7" fillId="0" fontId="12" numFmtId="0" xfId="0" applyAlignment="1" applyBorder="1" applyFont="1">
      <alignment readingOrder="0"/>
    </xf>
    <xf borderId="7" fillId="0" fontId="12" numFmtId="0" xfId="0" applyAlignment="1" applyBorder="1" applyFont="1">
      <alignment horizontal="right" readingOrder="0"/>
    </xf>
    <xf borderId="7" fillId="0" fontId="11" numFmtId="0" xfId="0" applyAlignment="1" applyBorder="1" applyFont="1">
      <alignment readingOrder="0"/>
    </xf>
    <xf borderId="0" fillId="0" fontId="3" numFmtId="0" xfId="0" applyAlignment="1" applyFont="1">
      <alignment horizontal="center" vertical="bottom"/>
    </xf>
    <xf borderId="1" fillId="2" fontId="13" numFmtId="0" xfId="0" applyAlignment="1" applyBorder="1" applyFont="1">
      <alignment horizontal="center" vertical="bottom"/>
    </xf>
    <xf borderId="1" fillId="0" fontId="14" numFmtId="0" xfId="0" applyAlignment="1" applyBorder="1" applyFont="1">
      <alignment horizontal="center" vertical="bottom"/>
    </xf>
    <xf borderId="7" fillId="2" fontId="13" numFmtId="0" xfId="0" applyAlignment="1" applyBorder="1" applyFont="1">
      <alignment horizontal="center" vertical="bottom"/>
    </xf>
    <xf borderId="7" fillId="0" fontId="15" numFmtId="0" xfId="0" applyAlignment="1" applyBorder="1" applyFont="1">
      <alignment horizontal="center" vertical="bottom"/>
    </xf>
    <xf borderId="7" fillId="2" fontId="15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vertical="bottom"/>
    </xf>
    <xf borderId="7" fillId="2" fontId="16" numFmtId="0" xfId="0" applyAlignment="1" applyBorder="1" applyFont="1">
      <alignment horizontal="center" vertical="bottom"/>
    </xf>
    <xf borderId="7" fillId="0" fontId="16" numFmtId="0" xfId="0" applyAlignment="1" applyBorder="1" applyFont="1">
      <alignment horizontal="center" vertical="bottom"/>
    </xf>
    <xf borderId="7" fillId="2" fontId="17" numFmtId="0" xfId="0" applyAlignment="1" applyBorder="1" applyFont="1">
      <alignment horizontal="center" vertical="bottom"/>
    </xf>
    <xf borderId="7" fillId="0" fontId="18" numFmtId="0" xfId="0" applyAlignment="1" applyBorder="1" applyFont="1">
      <alignment horizontal="center" vertical="bottom"/>
    </xf>
    <xf borderId="11" fillId="0" fontId="3" numFmtId="0" xfId="0" applyAlignment="1" applyBorder="1" applyFont="1">
      <alignment horizontal="center" vertical="bottom"/>
    </xf>
    <xf borderId="12" fillId="0" fontId="2" numFmtId="0" xfId="0" applyBorder="1" applyFont="1"/>
    <xf borderId="13" fillId="0" fontId="2" numFmtId="0" xfId="0" applyBorder="1" applyFont="1"/>
    <xf borderId="9" fillId="2" fontId="13" numFmtId="0" xfId="0" applyAlignment="1" applyBorder="1" applyFont="1">
      <alignment horizontal="center" vertical="bottom"/>
    </xf>
    <xf borderId="10" fillId="0" fontId="15" numFmtId="0" xfId="0" applyAlignment="1" applyBorder="1" applyFont="1">
      <alignment horizontal="center" vertical="bottom"/>
    </xf>
    <xf borderId="7" fillId="2" fontId="16" numFmtId="2" xfId="0" applyAlignment="1" applyBorder="1" applyFont="1" applyNumberFormat="1">
      <alignment horizontal="center" vertical="bottom"/>
    </xf>
    <xf borderId="9" fillId="0" fontId="16" numFmtId="0" xfId="0" applyAlignment="1" applyBorder="1" applyFont="1">
      <alignment horizontal="center" vertical="bottom"/>
    </xf>
    <xf borderId="10" fillId="0" fontId="4" numFmtId="0" xfId="0" applyAlignment="1" applyBorder="1" applyFont="1">
      <alignment horizontal="center" vertical="bottom"/>
    </xf>
    <xf borderId="10" fillId="2" fontId="19" numFmtId="0" xfId="0" applyAlignment="1" applyBorder="1" applyFont="1">
      <alignment horizontal="center" vertical="bottom"/>
    </xf>
    <xf borderId="10" fillId="2" fontId="17" numFmtId="0" xfId="0" applyAlignment="1" applyBorder="1" applyFont="1">
      <alignment horizontal="center" vertical="bottom"/>
    </xf>
    <xf borderId="10" fillId="0" fontId="3" numFmtId="0" xfId="0" applyAlignment="1" applyBorder="1" applyFont="1">
      <alignment horizontal="center" vertical="bottom"/>
    </xf>
    <xf borderId="9" fillId="2" fontId="20" numFmtId="0" xfId="0" applyAlignment="1" applyBorder="1" applyFont="1">
      <alignment horizontal="center" vertical="bottom"/>
    </xf>
    <xf borderId="10" fillId="0" fontId="16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9" fillId="0" fontId="15" numFmtId="0" xfId="0" applyAlignment="1" applyBorder="1" applyFont="1">
      <alignment horizontal="center" vertical="bottom"/>
    </xf>
    <xf borderId="10" fillId="0" fontId="15" numFmtId="9" xfId="0" applyAlignment="1" applyBorder="1" applyFont="1" applyNumberFormat="1">
      <alignment horizontal="center" vertical="bottom"/>
    </xf>
    <xf borderId="7" fillId="2" fontId="18" numFmtId="0" xfId="0" applyAlignment="1" applyBorder="1" applyFont="1">
      <alignment horizontal="center" vertical="bottom"/>
    </xf>
    <xf borderId="0" fillId="0" fontId="16" numFmtId="0" xfId="0" applyAlignment="1" applyFont="1">
      <alignment horizontal="center" vertical="bottom"/>
    </xf>
    <xf borderId="7" fillId="2" fontId="15" numFmtId="9" xfId="0" applyAlignment="1" applyBorder="1" applyFont="1" applyNumberFormat="1">
      <alignment horizontal="center" vertical="bottom"/>
    </xf>
    <xf borderId="7" fillId="0" fontId="15" numFmtId="9" xfId="0" applyAlignment="1" applyBorder="1" applyFont="1" applyNumberFormat="1">
      <alignment horizontal="center" vertical="bottom"/>
    </xf>
    <xf borderId="14" fillId="0" fontId="4" numFmtId="0" xfId="0" applyAlignment="1" applyBorder="1" applyFont="1">
      <alignment vertical="bottom"/>
    </xf>
    <xf borderId="7" fillId="0" fontId="4" numFmtId="2" xfId="0" applyAlignment="1" applyBorder="1" applyFont="1" applyNumberFormat="1">
      <alignment vertical="bottom"/>
    </xf>
    <xf borderId="8" fillId="2" fontId="3" numFmtId="0" xfId="0" applyAlignment="1" applyBorder="1" applyFont="1">
      <alignment horizontal="center" vertical="bottom"/>
    </xf>
    <xf borderId="8" fillId="2" fontId="3" numFmtId="0" xfId="0" applyAlignment="1" applyBorder="1" applyFont="1">
      <alignment horizontal="right" vertical="bottom"/>
    </xf>
    <xf borderId="15" fillId="2" fontId="13" numFmtId="0" xfId="0" applyAlignment="1" applyBorder="1" applyFont="1">
      <alignment horizontal="center" vertical="bottom"/>
    </xf>
    <xf borderId="14" fillId="0" fontId="2" numFmtId="0" xfId="0" applyBorder="1" applyFont="1"/>
    <xf borderId="10" fillId="0" fontId="2" numFmtId="0" xfId="0" applyBorder="1" applyFont="1"/>
    <xf borderId="3" fillId="0" fontId="4" numFmtId="0" xfId="0" applyAlignment="1" applyBorder="1" applyFont="1">
      <alignment horizontal="center" vertical="bottom"/>
    </xf>
    <xf borderId="10" fillId="2" fontId="15" numFmtId="0" xfId="0" applyAlignment="1" applyBorder="1" applyFont="1">
      <alignment horizontal="center" vertical="bottom"/>
    </xf>
    <xf borderId="9" fillId="0" fontId="6" numFmtId="0" xfId="0" applyAlignment="1" applyBorder="1" applyFont="1">
      <alignment horizontal="center" vertical="bottom"/>
    </xf>
    <xf borderId="10" fillId="0" fontId="6" numFmtId="9" xfId="0" applyAlignment="1" applyBorder="1" applyFont="1" applyNumberFormat="1">
      <alignment horizontal="center" vertical="bottom"/>
    </xf>
    <xf borderId="10" fillId="0" fontId="6" numFmtId="0" xfId="0" applyAlignment="1" applyBorder="1" applyFont="1">
      <alignment horizontal="center" vertical="bottom"/>
    </xf>
    <xf borderId="16" fillId="0" fontId="4" numFmtId="0" xfId="0" applyAlignment="1" applyBorder="1" applyFont="1">
      <alignment vertical="bottom"/>
    </xf>
    <xf borderId="1" fillId="2" fontId="21" numFmtId="0" xfId="0" applyAlignment="1" applyBorder="1" applyFont="1">
      <alignment horizontal="center" vertical="bottom"/>
    </xf>
    <xf borderId="9" fillId="2" fontId="1" numFmtId="0" xfId="0" applyAlignment="1" applyBorder="1" applyFont="1">
      <alignment horizontal="center" vertical="bottom"/>
    </xf>
    <xf borderId="9" fillId="0" fontId="8" numFmtId="0" xfId="0" applyAlignment="1" applyBorder="1" applyFont="1">
      <alignment horizontal="center" shrinkToFit="0" vertical="bottom" wrapText="1"/>
    </xf>
    <xf borderId="10" fillId="0" fontId="8" numFmtId="0" xfId="0" applyAlignment="1" applyBorder="1" applyFont="1">
      <alignment horizontal="center" shrinkToFit="0" vertical="bottom" wrapText="1"/>
    </xf>
    <xf borderId="7" fillId="2" fontId="21" numFmtId="0" xfId="0" applyAlignment="1" applyBorder="1" applyFont="1">
      <alignment horizontal="center" vertical="bottom"/>
    </xf>
    <xf borderId="7" fillId="0" fontId="4" numFmtId="2" xfId="0" applyAlignment="1" applyBorder="1" applyFont="1" applyNumberFormat="1">
      <alignment horizontal="center" vertical="bottom"/>
    </xf>
    <xf borderId="7" fillId="2" fontId="22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 readingOrder="0"/>
    </xf>
    <xf borderId="10" fillId="0" fontId="4" numFmtId="0" xfId="0" applyAlignment="1" applyBorder="1" applyFont="1">
      <alignment horizontal="right" vertical="bottom"/>
    </xf>
    <xf borderId="7" fillId="0" fontId="12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readingOrder="0"/>
    </xf>
    <xf borderId="10" fillId="0" fontId="10" numFmtId="0" xfId="0" applyAlignment="1" applyBorder="1" applyFont="1">
      <alignment horizontal="center" shrinkToFit="0" vertical="bottom" wrapText="1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right" readingOrder="0"/>
    </xf>
    <xf borderId="0" fillId="0" fontId="12" numFmtId="0" xfId="0" applyAlignment="1" applyFont="1">
      <alignment readingOrder="0"/>
    </xf>
    <xf borderId="0" fillId="0" fontId="12" numFmtId="0" xfId="0" applyAlignment="1" applyFont="1">
      <alignment horizontal="right" readingOrder="0"/>
    </xf>
    <xf borderId="15" fillId="0" fontId="15" numFmtId="0" xfId="0" applyAlignment="1" applyBorder="1" applyFont="1">
      <alignment horizontal="center" vertical="bottom"/>
    </xf>
    <xf borderId="9" fillId="2" fontId="17" numFmtId="0" xfId="0" applyAlignment="1" applyBorder="1" applyFont="1">
      <alignment horizontal="center" vertical="bottom"/>
    </xf>
    <xf borderId="0" fillId="0" fontId="23" numFmtId="0" xfId="0" applyAlignment="1" applyFont="1">
      <alignment readingOrder="0"/>
    </xf>
    <xf borderId="0" fillId="0" fontId="23" numFmtId="0" xfId="0" applyAlignment="1" applyFont="1">
      <alignment horizontal="center" readingOrder="0"/>
    </xf>
    <xf borderId="0" fillId="0" fontId="2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7.13"/>
    <col customWidth="1" min="5" max="5" width="20.63"/>
    <col customWidth="1" min="9" max="9" width="30.5"/>
    <col customWidth="1" min="13" max="13" width="21.13"/>
  </cols>
  <sheetData>
    <row r="1">
      <c r="A1" s="1" t="s">
        <v>0</v>
      </c>
      <c r="B1" s="2"/>
      <c r="C1" s="3"/>
      <c r="E1" s="1" t="s">
        <v>1</v>
      </c>
      <c r="F1" s="2"/>
      <c r="G1" s="3"/>
      <c r="I1" s="1" t="s">
        <v>2</v>
      </c>
      <c r="J1" s="2"/>
      <c r="K1" s="3"/>
      <c r="M1" s="1" t="s">
        <v>3</v>
      </c>
      <c r="N1" s="2"/>
      <c r="O1" s="3"/>
      <c r="Q1" s="4" t="s">
        <v>4</v>
      </c>
      <c r="R1" s="5"/>
      <c r="S1" s="6"/>
    </row>
    <row r="2">
      <c r="A2" s="7" t="s">
        <v>5</v>
      </c>
      <c r="B2" s="8" t="s">
        <v>6</v>
      </c>
      <c r="C2" s="8" t="s">
        <v>7</v>
      </c>
      <c r="E2" s="7" t="s">
        <v>5</v>
      </c>
      <c r="F2" s="8" t="s">
        <v>6</v>
      </c>
      <c r="G2" s="8" t="s">
        <v>7</v>
      </c>
      <c r="I2" s="7" t="s">
        <v>5</v>
      </c>
      <c r="J2" s="8" t="s">
        <v>6</v>
      </c>
      <c r="K2" s="8" t="s">
        <v>7</v>
      </c>
      <c r="M2" s="7" t="s">
        <v>5</v>
      </c>
      <c r="N2" s="8" t="s">
        <v>6</v>
      </c>
      <c r="O2" s="8" t="s">
        <v>7</v>
      </c>
      <c r="Q2" s="9"/>
      <c r="R2" s="9"/>
      <c r="S2" s="9"/>
    </row>
    <row r="3">
      <c r="A3" s="10" t="s">
        <v>8</v>
      </c>
      <c r="B3" s="11">
        <v>310.0</v>
      </c>
      <c r="C3" s="11">
        <v>25.25</v>
      </c>
      <c r="E3" s="10" t="s">
        <v>8</v>
      </c>
      <c r="F3" s="11">
        <v>310.0</v>
      </c>
      <c r="G3" s="11">
        <v>25.25</v>
      </c>
      <c r="I3" s="11" t="s">
        <v>9</v>
      </c>
      <c r="J3" s="11">
        <v>20.0</v>
      </c>
      <c r="K3" s="11">
        <v>11.0</v>
      </c>
      <c r="M3" s="10" t="s">
        <v>10</v>
      </c>
      <c r="N3" s="10">
        <v>4.0</v>
      </c>
      <c r="O3" s="11">
        <v>3.32</v>
      </c>
      <c r="Q3" s="4" t="s">
        <v>11</v>
      </c>
      <c r="R3" s="5"/>
      <c r="S3" s="6"/>
    </row>
    <row r="4">
      <c r="A4" s="10" t="s">
        <v>12</v>
      </c>
      <c r="B4" s="10">
        <v>110.0</v>
      </c>
      <c r="C4" s="11">
        <v>66.33</v>
      </c>
      <c r="E4" s="10" t="s">
        <v>13</v>
      </c>
      <c r="F4" s="10">
        <v>150.0</v>
      </c>
      <c r="G4" s="11">
        <v>35.4</v>
      </c>
      <c r="I4" s="11" t="s">
        <v>14</v>
      </c>
      <c r="J4" s="11">
        <v>190.0</v>
      </c>
      <c r="K4" s="11">
        <v>19.0</v>
      </c>
      <c r="M4" s="12" t="s">
        <v>15</v>
      </c>
      <c r="N4" s="12">
        <v>10.0</v>
      </c>
      <c r="O4" s="8">
        <v>1.38</v>
      </c>
      <c r="Q4" s="13" t="s">
        <v>16</v>
      </c>
      <c r="R4" s="14" t="s">
        <v>17</v>
      </c>
      <c r="S4" s="14" t="s">
        <v>18</v>
      </c>
    </row>
    <row r="5">
      <c r="A5" s="10" t="s">
        <v>19</v>
      </c>
      <c r="B5" s="10">
        <v>45.0</v>
      </c>
      <c r="C5" s="11">
        <v>15.54</v>
      </c>
      <c r="E5" s="10" t="s">
        <v>12</v>
      </c>
      <c r="F5" s="10">
        <v>110.0</v>
      </c>
      <c r="G5" s="11">
        <v>66.33</v>
      </c>
      <c r="I5" s="11" t="s">
        <v>20</v>
      </c>
      <c r="J5" s="11">
        <v>3.0</v>
      </c>
      <c r="K5" s="11">
        <v>1.0</v>
      </c>
      <c r="M5" s="12" t="s">
        <v>21</v>
      </c>
      <c r="N5" s="12">
        <v>10.0</v>
      </c>
      <c r="O5" s="8">
        <v>2.19</v>
      </c>
      <c r="Q5" s="15" t="s">
        <v>22</v>
      </c>
      <c r="R5" s="16">
        <v>35.0</v>
      </c>
      <c r="S5" s="16">
        <v>6.96</v>
      </c>
    </row>
    <row r="6">
      <c r="A6" s="10" t="s">
        <v>23</v>
      </c>
      <c r="B6" s="10">
        <v>150.0</v>
      </c>
      <c r="C6" s="11">
        <v>32.35</v>
      </c>
      <c r="E6" s="10" t="s">
        <v>24</v>
      </c>
      <c r="F6" s="10">
        <v>50.0</v>
      </c>
      <c r="G6" s="11">
        <v>22.75</v>
      </c>
      <c r="I6" s="11" t="s">
        <v>25</v>
      </c>
      <c r="J6" s="11">
        <v>4.0</v>
      </c>
      <c r="K6" s="11">
        <v>3.2</v>
      </c>
      <c r="M6" s="10" t="s">
        <v>20</v>
      </c>
      <c r="N6" s="10">
        <v>2.0</v>
      </c>
      <c r="O6" s="11">
        <v>1.0</v>
      </c>
      <c r="Q6" s="15" t="s">
        <v>26</v>
      </c>
      <c r="R6" s="16">
        <v>20.0</v>
      </c>
      <c r="S6" s="16">
        <v>7.06</v>
      </c>
    </row>
    <row r="7">
      <c r="A7" s="10" t="s">
        <v>27</v>
      </c>
      <c r="B7" s="10">
        <v>30.0</v>
      </c>
      <c r="C7" s="11">
        <v>12.2</v>
      </c>
      <c r="E7" s="10" t="s">
        <v>28</v>
      </c>
      <c r="F7" s="10">
        <v>30.0</v>
      </c>
      <c r="G7" s="11">
        <v>7.2</v>
      </c>
      <c r="I7" s="11" t="s">
        <v>29</v>
      </c>
      <c r="J7" s="11">
        <v>1.0</v>
      </c>
      <c r="K7" s="11">
        <v>1.0</v>
      </c>
      <c r="M7" s="10" t="s">
        <v>30</v>
      </c>
      <c r="N7" s="10">
        <v>1.0</v>
      </c>
      <c r="O7" s="11">
        <v>1.0</v>
      </c>
      <c r="Q7" s="15" t="s">
        <v>31</v>
      </c>
      <c r="R7" s="16">
        <v>110.0</v>
      </c>
      <c r="S7" s="16">
        <v>65.36</v>
      </c>
    </row>
    <row r="8">
      <c r="A8" s="10" t="s">
        <v>32</v>
      </c>
      <c r="B8" s="10">
        <v>2.35</v>
      </c>
      <c r="C8" s="11">
        <v>9.0</v>
      </c>
      <c r="E8" s="10" t="s">
        <v>33</v>
      </c>
      <c r="F8" s="10">
        <v>20.0</v>
      </c>
      <c r="G8" s="11">
        <v>6.25</v>
      </c>
      <c r="I8" s="11" t="s">
        <v>34</v>
      </c>
      <c r="J8" s="11">
        <v>1.0</v>
      </c>
      <c r="K8" s="11">
        <v>5.5</v>
      </c>
      <c r="M8" s="10" t="s">
        <v>9</v>
      </c>
      <c r="N8" s="10">
        <v>20.0</v>
      </c>
      <c r="O8" s="11">
        <v>11.0</v>
      </c>
      <c r="Q8" s="15" t="s">
        <v>35</v>
      </c>
      <c r="R8" s="16">
        <v>40.0</v>
      </c>
      <c r="S8" s="16">
        <v>14.12</v>
      </c>
    </row>
    <row r="9">
      <c r="A9" s="11" t="s">
        <v>36</v>
      </c>
      <c r="B9" s="11">
        <v>25.0</v>
      </c>
      <c r="C9" s="11">
        <v>23.0</v>
      </c>
      <c r="E9" s="10" t="s">
        <v>37</v>
      </c>
      <c r="F9" s="10">
        <v>30.0</v>
      </c>
      <c r="G9" s="11">
        <v>7.26</v>
      </c>
      <c r="I9" s="11" t="s">
        <v>38</v>
      </c>
      <c r="J9" s="11">
        <v>140.0</v>
      </c>
      <c r="K9" s="11">
        <v>22.8</v>
      </c>
      <c r="M9" s="10" t="s">
        <v>39</v>
      </c>
      <c r="N9" s="10">
        <v>225.0</v>
      </c>
      <c r="O9" s="11">
        <v>45.56</v>
      </c>
      <c r="Q9" s="15" t="s">
        <v>40</v>
      </c>
      <c r="R9" s="16">
        <v>45.0</v>
      </c>
      <c r="S9" s="16">
        <v>30.02</v>
      </c>
    </row>
    <row r="10">
      <c r="A10" s="11" t="s">
        <v>41</v>
      </c>
      <c r="B10" s="11">
        <v>25.0</v>
      </c>
      <c r="C10" s="11">
        <v>5.0</v>
      </c>
      <c r="E10" s="10" t="s">
        <v>42</v>
      </c>
      <c r="F10" s="10">
        <v>25.0</v>
      </c>
      <c r="G10" s="11">
        <v>4.0</v>
      </c>
      <c r="I10" s="11" t="s">
        <v>43</v>
      </c>
      <c r="J10" s="11">
        <v>5.0</v>
      </c>
      <c r="K10" s="11">
        <v>2.0</v>
      </c>
      <c r="M10" s="10" t="s">
        <v>44</v>
      </c>
      <c r="N10" s="8">
        <v>140.0</v>
      </c>
      <c r="O10" s="11">
        <v>14.14</v>
      </c>
      <c r="Q10" s="15" t="s">
        <v>45</v>
      </c>
      <c r="R10" s="16">
        <v>15.0</v>
      </c>
      <c r="S10" s="16">
        <v>2.82</v>
      </c>
    </row>
    <row r="11">
      <c r="A11" s="11" t="s">
        <v>46</v>
      </c>
      <c r="B11" s="11">
        <v>15.0</v>
      </c>
      <c r="C11" s="11">
        <v>1.0</v>
      </c>
      <c r="E11" s="11" t="s">
        <v>46</v>
      </c>
      <c r="F11" s="11">
        <v>15.0</v>
      </c>
      <c r="G11" s="11">
        <v>1.0</v>
      </c>
      <c r="I11" s="11" t="s">
        <v>47</v>
      </c>
      <c r="J11" s="17"/>
      <c r="K11" s="17"/>
      <c r="M11" s="10" t="s">
        <v>48</v>
      </c>
      <c r="N11" s="10">
        <v>3.0</v>
      </c>
      <c r="O11" s="11">
        <v>1.06</v>
      </c>
      <c r="Q11" s="15" t="s">
        <v>49</v>
      </c>
      <c r="R11" s="16">
        <v>1.0</v>
      </c>
      <c r="S11" s="16">
        <v>1.65</v>
      </c>
    </row>
    <row r="12">
      <c r="A12" s="8" t="s">
        <v>50</v>
      </c>
      <c r="B12" s="18">
        <f t="shared" ref="B12:C12" si="1">SUM(B3:B11)</f>
        <v>712.35</v>
      </c>
      <c r="C12" s="18">
        <f t="shared" si="1"/>
        <v>189.67</v>
      </c>
      <c r="E12" s="8" t="s">
        <v>50</v>
      </c>
      <c r="F12" s="18">
        <f t="shared" ref="F12:G12" si="2">SUM(F3:F11)</f>
        <v>740</v>
      </c>
      <c r="G12" s="18">
        <f t="shared" si="2"/>
        <v>175.44</v>
      </c>
      <c r="I12" s="11" t="s">
        <v>43</v>
      </c>
      <c r="J12" s="11">
        <v>10.0</v>
      </c>
      <c r="K12" s="11">
        <v>4.0</v>
      </c>
      <c r="M12" s="10" t="s">
        <v>51</v>
      </c>
      <c r="N12" s="10">
        <v>8.0</v>
      </c>
      <c r="O12" s="19">
        <v>11.67</v>
      </c>
      <c r="Q12" s="15" t="s">
        <v>52</v>
      </c>
      <c r="R12" s="16">
        <v>266.0</v>
      </c>
      <c r="S12" s="16">
        <v>127.99</v>
      </c>
    </row>
    <row r="13">
      <c r="A13" s="20" t="s">
        <v>53</v>
      </c>
      <c r="B13" s="21">
        <v>0.05</v>
      </c>
      <c r="C13" s="20">
        <f>Sum(C12*5%)</f>
        <v>9.4835</v>
      </c>
      <c r="E13" s="20" t="s">
        <v>53</v>
      </c>
      <c r="F13" s="21">
        <v>0.05</v>
      </c>
      <c r="G13" s="20">
        <f>Sum(G12*5%)</f>
        <v>8.772</v>
      </c>
      <c r="I13" s="22" t="s">
        <v>54</v>
      </c>
      <c r="J13" s="22">
        <v>5.0</v>
      </c>
      <c r="K13" s="22">
        <v>2.0</v>
      </c>
      <c r="M13" s="10" t="s">
        <v>55</v>
      </c>
      <c r="N13" s="10">
        <v>3.0</v>
      </c>
      <c r="O13" s="11">
        <v>1.0</v>
      </c>
      <c r="Q13" s="15" t="s">
        <v>56</v>
      </c>
      <c r="R13" s="15"/>
      <c r="S13" s="16">
        <v>6.4</v>
      </c>
    </row>
    <row r="14">
      <c r="A14" s="17"/>
      <c r="B14" s="17"/>
      <c r="C14" s="23">
        <f>C12+C13</f>
        <v>199.1535</v>
      </c>
      <c r="E14" s="17"/>
      <c r="F14" s="17"/>
      <c r="G14" s="23">
        <f>G12+G13</f>
        <v>184.212</v>
      </c>
      <c r="I14" s="22" t="s">
        <v>57</v>
      </c>
      <c r="J14" s="22">
        <v>10.0</v>
      </c>
      <c r="K14" s="22">
        <v>3.0</v>
      </c>
      <c r="M14" s="22" t="s">
        <v>58</v>
      </c>
      <c r="N14" s="22">
        <v>10.0</v>
      </c>
      <c r="O14" s="11">
        <v>4.22</v>
      </c>
      <c r="Q14" s="15" t="s">
        <v>59</v>
      </c>
      <c r="R14" s="15"/>
      <c r="S14" s="16">
        <v>134.39</v>
      </c>
    </row>
    <row r="15">
      <c r="A15" s="9"/>
      <c r="B15" s="9"/>
      <c r="C15" s="9"/>
      <c r="E15" s="9"/>
      <c r="F15" s="9"/>
      <c r="G15" s="9"/>
      <c r="I15" s="22" t="s">
        <v>60</v>
      </c>
      <c r="J15" s="22">
        <v>2.0</v>
      </c>
      <c r="K15" s="22">
        <v>1.0</v>
      </c>
      <c r="M15" s="8" t="s">
        <v>50</v>
      </c>
      <c r="N15" s="24">
        <f t="shared" ref="N15:O15" si="3">SUM(N3:N14)</f>
        <v>436</v>
      </c>
      <c r="O15" s="18">
        <f t="shared" si="3"/>
        <v>97.54</v>
      </c>
      <c r="Q15" s="9"/>
      <c r="R15" s="9"/>
      <c r="S15" s="9"/>
    </row>
    <row r="16">
      <c r="A16" s="9"/>
      <c r="B16" s="9"/>
      <c r="C16" s="9"/>
      <c r="E16" s="9"/>
      <c r="F16" s="9"/>
      <c r="G16" s="9"/>
      <c r="I16" s="8" t="s">
        <v>50</v>
      </c>
      <c r="J16" s="18">
        <f t="shared" ref="J16:K16" si="4">SUM(J3:J15)</f>
        <v>391</v>
      </c>
      <c r="K16" s="18">
        <f t="shared" si="4"/>
        <v>75.5</v>
      </c>
      <c r="M16" s="20" t="s">
        <v>53</v>
      </c>
      <c r="N16" s="21">
        <v>0.05</v>
      </c>
      <c r="O16" s="20">
        <f>Sum(O15*5%)</f>
        <v>4.877</v>
      </c>
      <c r="Q16" s="4" t="s">
        <v>61</v>
      </c>
      <c r="R16" s="5"/>
      <c r="S16" s="6"/>
    </row>
    <row r="17">
      <c r="A17" s="9"/>
      <c r="B17" s="9"/>
      <c r="C17" s="9"/>
      <c r="E17" s="9"/>
      <c r="F17" s="9"/>
      <c r="G17" s="9"/>
      <c r="I17" s="20" t="s">
        <v>53</v>
      </c>
      <c r="J17" s="21">
        <v>0.05</v>
      </c>
      <c r="K17" s="20">
        <f>Sum(K16*5%)</f>
        <v>3.775</v>
      </c>
      <c r="M17" s="17"/>
      <c r="N17" s="17"/>
      <c r="O17" s="25">
        <f>O15+O16</f>
        <v>102.417</v>
      </c>
      <c r="Q17" s="13" t="s">
        <v>62</v>
      </c>
      <c r="R17" s="14" t="s">
        <v>17</v>
      </c>
      <c r="S17" s="14" t="s">
        <v>18</v>
      </c>
    </row>
    <row r="18">
      <c r="A18" s="1" t="s">
        <v>63</v>
      </c>
      <c r="B18" s="2"/>
      <c r="C18" s="3"/>
      <c r="E18" s="1" t="s">
        <v>42</v>
      </c>
      <c r="F18" s="2"/>
      <c r="G18" s="3"/>
      <c r="I18" s="17"/>
      <c r="J18" s="17"/>
      <c r="K18" s="25">
        <f>K16+K17</f>
        <v>79.275</v>
      </c>
      <c r="M18" s="9"/>
      <c r="N18" s="9"/>
      <c r="O18" s="9"/>
      <c r="Q18" s="15" t="s">
        <v>9</v>
      </c>
      <c r="R18" s="16">
        <v>55.0</v>
      </c>
      <c r="S18" s="16">
        <v>29.53</v>
      </c>
    </row>
    <row r="19">
      <c r="A19" s="7" t="s">
        <v>5</v>
      </c>
      <c r="B19" s="8" t="s">
        <v>6</v>
      </c>
      <c r="C19" s="8" t="s">
        <v>7</v>
      </c>
      <c r="E19" s="7" t="s">
        <v>5</v>
      </c>
      <c r="F19" s="8" t="s">
        <v>6</v>
      </c>
      <c r="G19" s="8" t="s">
        <v>7</v>
      </c>
      <c r="I19" s="9"/>
      <c r="J19" s="9"/>
      <c r="K19" s="9"/>
      <c r="M19" s="9"/>
      <c r="N19" s="9"/>
      <c r="O19" s="9"/>
      <c r="Q19" s="15" t="s">
        <v>64</v>
      </c>
      <c r="R19" s="16">
        <v>35.0</v>
      </c>
      <c r="S19" s="16">
        <v>6.7</v>
      </c>
    </row>
    <row r="20">
      <c r="A20" s="10" t="s">
        <v>65</v>
      </c>
      <c r="B20" s="10">
        <v>250.0</v>
      </c>
      <c r="C20" s="11">
        <v>60.0</v>
      </c>
      <c r="E20" s="26" t="s">
        <v>66</v>
      </c>
      <c r="F20" s="26">
        <v>1000.0</v>
      </c>
      <c r="G20" s="11">
        <v>425.0</v>
      </c>
      <c r="I20" s="9"/>
      <c r="J20" s="9"/>
      <c r="K20" s="9"/>
      <c r="M20" s="27" t="s">
        <v>58</v>
      </c>
      <c r="N20" s="2"/>
      <c r="O20" s="3"/>
      <c r="Q20" s="15" t="s">
        <v>67</v>
      </c>
      <c r="R20" s="16">
        <v>185.0</v>
      </c>
      <c r="S20" s="16">
        <v>41.15</v>
      </c>
    </row>
    <row r="21">
      <c r="A21" s="10" t="s">
        <v>68</v>
      </c>
      <c r="B21" s="10">
        <v>160.0</v>
      </c>
      <c r="C21" s="11">
        <v>8.0</v>
      </c>
      <c r="E21" s="26" t="s">
        <v>69</v>
      </c>
      <c r="F21" s="26">
        <v>500.0</v>
      </c>
      <c r="G21" s="11">
        <v>25.0</v>
      </c>
      <c r="I21" s="1" t="s">
        <v>70</v>
      </c>
      <c r="J21" s="2"/>
      <c r="K21" s="3"/>
      <c r="M21" s="11" t="s">
        <v>71</v>
      </c>
      <c r="N21" s="11">
        <v>100.0</v>
      </c>
      <c r="O21" s="11">
        <v>13.4</v>
      </c>
      <c r="Q21" s="15" t="s">
        <v>72</v>
      </c>
      <c r="R21" s="16">
        <v>145.0</v>
      </c>
      <c r="S21" s="16">
        <v>11.46</v>
      </c>
    </row>
    <row r="22">
      <c r="A22" s="10" t="s">
        <v>73</v>
      </c>
      <c r="B22" s="10">
        <v>40.0</v>
      </c>
      <c r="C22" s="11">
        <v>1.23</v>
      </c>
      <c r="E22" s="26" t="s">
        <v>20</v>
      </c>
      <c r="F22" s="26">
        <v>220.0</v>
      </c>
      <c r="G22" s="11">
        <v>6.0</v>
      </c>
      <c r="I22" s="7" t="s">
        <v>5</v>
      </c>
      <c r="J22" s="8" t="s">
        <v>6</v>
      </c>
      <c r="K22" s="8" t="s">
        <v>7</v>
      </c>
      <c r="M22" s="11" t="s">
        <v>74</v>
      </c>
      <c r="N22" s="11">
        <v>1.0</v>
      </c>
      <c r="O22" s="11">
        <v>1.0</v>
      </c>
      <c r="Q22" s="15" t="s">
        <v>75</v>
      </c>
      <c r="R22" s="16">
        <v>12.0</v>
      </c>
      <c r="S22" s="16">
        <v>2.21</v>
      </c>
    </row>
    <row r="23">
      <c r="A23" s="10" t="s">
        <v>20</v>
      </c>
      <c r="B23" s="10">
        <v>20.0</v>
      </c>
      <c r="C23" s="11">
        <v>1.0</v>
      </c>
      <c r="E23" s="26" t="s">
        <v>76</v>
      </c>
      <c r="F23" s="26">
        <v>500.0</v>
      </c>
      <c r="G23" s="11">
        <v>64.44</v>
      </c>
      <c r="I23" s="28" t="s">
        <v>29</v>
      </c>
      <c r="J23" s="28">
        <v>10.0</v>
      </c>
      <c r="K23" s="28">
        <v>6.0</v>
      </c>
      <c r="M23" s="11" t="s">
        <v>77</v>
      </c>
      <c r="N23" s="11">
        <v>2.0</v>
      </c>
      <c r="O23" s="11">
        <v>3.0</v>
      </c>
      <c r="Q23" s="15" t="s">
        <v>78</v>
      </c>
      <c r="R23" s="16">
        <v>105.0</v>
      </c>
      <c r="S23" s="16">
        <v>7.82</v>
      </c>
    </row>
    <row r="24">
      <c r="A24" s="11" t="s">
        <v>79</v>
      </c>
      <c r="B24" s="11">
        <v>500.0</v>
      </c>
      <c r="C24" s="11">
        <v>60.39</v>
      </c>
      <c r="E24" s="26" t="s">
        <v>80</v>
      </c>
      <c r="F24" s="26">
        <v>800.0</v>
      </c>
      <c r="G24" s="11">
        <v>150.0</v>
      </c>
      <c r="I24" s="28" t="s">
        <v>81</v>
      </c>
      <c r="J24" s="28">
        <v>50.0</v>
      </c>
      <c r="K24" s="28">
        <v>8.0</v>
      </c>
      <c r="M24" s="11" t="s">
        <v>20</v>
      </c>
      <c r="N24" s="11">
        <v>1.0</v>
      </c>
      <c r="O24" s="11">
        <v>1.0</v>
      </c>
      <c r="Q24" s="15" t="s">
        <v>82</v>
      </c>
      <c r="R24" s="16">
        <v>20.0</v>
      </c>
      <c r="S24" s="16">
        <v>1.36</v>
      </c>
    </row>
    <row r="25">
      <c r="A25" s="8" t="s">
        <v>50</v>
      </c>
      <c r="B25" s="8">
        <f t="shared" ref="B25:C25" si="5">SUM(B20:B24)</f>
        <v>970</v>
      </c>
      <c r="C25" s="8">
        <f t="shared" si="5"/>
        <v>130.62</v>
      </c>
      <c r="E25" s="26" t="s">
        <v>83</v>
      </c>
      <c r="F25" s="26">
        <v>250.0</v>
      </c>
      <c r="G25" s="11">
        <v>25.25</v>
      </c>
      <c r="I25" s="28" t="s">
        <v>84</v>
      </c>
      <c r="J25" s="28">
        <v>5.0</v>
      </c>
      <c r="K25" s="28">
        <v>2.1</v>
      </c>
      <c r="M25" s="11" t="s">
        <v>85</v>
      </c>
      <c r="N25" s="11">
        <v>0.5</v>
      </c>
      <c r="O25" s="11">
        <v>1.0</v>
      </c>
      <c r="Q25" s="15" t="s">
        <v>86</v>
      </c>
      <c r="R25" s="16">
        <v>10.0</v>
      </c>
      <c r="S25" s="16">
        <v>5.95</v>
      </c>
    </row>
    <row r="26">
      <c r="A26" s="9"/>
      <c r="B26" s="9"/>
      <c r="C26" s="9"/>
      <c r="E26" s="26" t="s">
        <v>87</v>
      </c>
      <c r="F26" s="26">
        <v>200.0</v>
      </c>
      <c r="G26" s="11">
        <v>42.4</v>
      </c>
      <c r="I26" s="28" t="s">
        <v>65</v>
      </c>
      <c r="J26" s="28">
        <v>20.0</v>
      </c>
      <c r="K26" s="28">
        <v>5.0</v>
      </c>
      <c r="M26" s="11" t="s">
        <v>88</v>
      </c>
      <c r="N26" s="11">
        <v>5.0</v>
      </c>
      <c r="O26" s="11">
        <v>5.0</v>
      </c>
      <c r="Q26" s="15" t="s">
        <v>89</v>
      </c>
      <c r="R26" s="16">
        <v>2.0</v>
      </c>
      <c r="S26" s="16">
        <v>0.18</v>
      </c>
    </row>
    <row r="27">
      <c r="A27" s="9"/>
      <c r="B27" s="9"/>
      <c r="C27" s="9"/>
      <c r="E27" s="11" t="s">
        <v>90</v>
      </c>
      <c r="F27" s="29">
        <v>5000.0</v>
      </c>
      <c r="G27" s="29">
        <v>523.33</v>
      </c>
      <c r="I27" s="28" t="s">
        <v>91</v>
      </c>
      <c r="J27" s="28">
        <v>2.0</v>
      </c>
      <c r="K27" s="28">
        <v>1.0</v>
      </c>
      <c r="M27" s="11" t="s">
        <v>92</v>
      </c>
      <c r="N27" s="11">
        <v>15.0</v>
      </c>
      <c r="O27" s="11">
        <v>6.0</v>
      </c>
      <c r="Q27" s="15" t="s">
        <v>93</v>
      </c>
      <c r="R27" s="16">
        <v>5.0</v>
      </c>
      <c r="S27" s="16">
        <v>0.7</v>
      </c>
    </row>
    <row r="28">
      <c r="A28" s="1" t="s">
        <v>79</v>
      </c>
      <c r="B28" s="2"/>
      <c r="C28" s="3"/>
      <c r="E28" s="30" t="s">
        <v>50</v>
      </c>
      <c r="F28" s="31">
        <f t="shared" ref="F28:G28" si="6">SUM(F20:F27)</f>
        <v>8470</v>
      </c>
      <c r="G28" s="31">
        <f t="shared" si="6"/>
        <v>1261.42</v>
      </c>
      <c r="I28" s="28" t="s">
        <v>94</v>
      </c>
      <c r="J28" s="28">
        <v>50.0</v>
      </c>
      <c r="K28" s="28">
        <v>5.0</v>
      </c>
      <c r="M28" s="11" t="s">
        <v>95</v>
      </c>
      <c r="N28" s="11">
        <v>20.0</v>
      </c>
      <c r="O28" s="11">
        <v>16.6</v>
      </c>
      <c r="Q28" s="15" t="s">
        <v>20</v>
      </c>
      <c r="R28" s="16">
        <v>1.0</v>
      </c>
      <c r="S28" s="16">
        <v>0.03</v>
      </c>
    </row>
    <row r="29">
      <c r="A29" s="7" t="s">
        <v>5</v>
      </c>
      <c r="B29" s="8" t="s">
        <v>6</v>
      </c>
      <c r="C29" s="8" t="s">
        <v>7</v>
      </c>
      <c r="I29" s="28" t="s">
        <v>96</v>
      </c>
      <c r="J29" s="28">
        <v>20.0</v>
      </c>
      <c r="K29" s="28">
        <v>3.0</v>
      </c>
      <c r="M29" s="8" t="s">
        <v>50</v>
      </c>
      <c r="N29" s="24">
        <f t="shared" ref="N29:O29" si="7">SUM(N21:N28)</f>
        <v>144.5</v>
      </c>
      <c r="O29" s="24">
        <f t="shared" si="7"/>
        <v>47</v>
      </c>
      <c r="Q29" s="15" t="s">
        <v>97</v>
      </c>
      <c r="R29" s="16">
        <v>4.0</v>
      </c>
      <c r="S29" s="16">
        <v>2.64</v>
      </c>
    </row>
    <row r="30">
      <c r="A30" s="32" t="s">
        <v>98</v>
      </c>
      <c r="B30" s="32">
        <v>1000.0</v>
      </c>
      <c r="C30" s="28">
        <v>122.4</v>
      </c>
      <c r="I30" s="28" t="s">
        <v>95</v>
      </c>
      <c r="J30" s="28">
        <v>60.0</v>
      </c>
      <c r="K30" s="28">
        <v>50.0</v>
      </c>
      <c r="M30" s="9"/>
      <c r="N30" s="9"/>
      <c r="O30" s="9"/>
      <c r="Q30" s="15" t="s">
        <v>99</v>
      </c>
      <c r="R30" s="16">
        <v>579.0</v>
      </c>
      <c r="S30" s="16">
        <v>109.72</v>
      </c>
    </row>
    <row r="31">
      <c r="A31" s="32" t="s">
        <v>100</v>
      </c>
      <c r="B31" s="32">
        <v>20.0</v>
      </c>
      <c r="C31" s="28">
        <v>1.0</v>
      </c>
      <c r="E31" s="33" t="s">
        <v>101</v>
      </c>
      <c r="F31" s="3"/>
      <c r="I31" s="22" t="s">
        <v>20</v>
      </c>
      <c r="J31" s="28">
        <v>3.0</v>
      </c>
      <c r="K31" s="28">
        <v>1.0</v>
      </c>
      <c r="M31" s="9"/>
      <c r="N31" s="9"/>
      <c r="O31" s="9"/>
      <c r="Q31" s="9"/>
      <c r="R31" s="9"/>
      <c r="S31" s="9"/>
    </row>
    <row r="32">
      <c r="A32" s="34" t="s">
        <v>50</v>
      </c>
      <c r="B32" s="34">
        <v>1020.0</v>
      </c>
      <c r="C32" s="7">
        <f>SUM(C30:C31)</f>
        <v>123.4</v>
      </c>
      <c r="E32" s="35" t="s">
        <v>102</v>
      </c>
      <c r="F32" s="36" t="s">
        <v>103</v>
      </c>
      <c r="I32" s="22" t="s">
        <v>104</v>
      </c>
      <c r="J32" s="28">
        <v>5.0</v>
      </c>
      <c r="K32" s="28">
        <v>1.0</v>
      </c>
      <c r="M32" s="1" t="s">
        <v>15</v>
      </c>
      <c r="N32" s="2"/>
      <c r="O32" s="3"/>
      <c r="Q32" s="4" t="s">
        <v>105</v>
      </c>
      <c r="R32" s="5"/>
      <c r="S32" s="6"/>
    </row>
    <row r="33">
      <c r="A33" s="9"/>
      <c r="B33" s="9"/>
      <c r="C33" s="9"/>
      <c r="E33" s="37" t="s">
        <v>106</v>
      </c>
      <c r="F33" s="38">
        <v>23.0</v>
      </c>
      <c r="I33" s="22" t="s">
        <v>85</v>
      </c>
      <c r="J33" s="28">
        <v>1.0</v>
      </c>
      <c r="K33" s="28">
        <v>1.0</v>
      </c>
      <c r="M33" s="7" t="s">
        <v>5</v>
      </c>
      <c r="N33" s="8" t="s">
        <v>6</v>
      </c>
      <c r="O33" s="8" t="s">
        <v>7</v>
      </c>
      <c r="Q33" s="13" t="s">
        <v>62</v>
      </c>
      <c r="R33" s="14" t="s">
        <v>17</v>
      </c>
      <c r="S33" s="14" t="s">
        <v>18</v>
      </c>
    </row>
    <row r="34">
      <c r="A34" s="9"/>
      <c r="B34" s="9"/>
      <c r="C34" s="9"/>
      <c r="E34" s="37" t="s">
        <v>107</v>
      </c>
      <c r="F34" s="38">
        <v>1.44</v>
      </c>
      <c r="I34" s="28" t="s">
        <v>108</v>
      </c>
      <c r="J34" s="28">
        <v>3.0</v>
      </c>
      <c r="K34" s="28">
        <v>4.5</v>
      </c>
      <c r="M34" s="7" t="s">
        <v>109</v>
      </c>
      <c r="N34" s="7">
        <v>200.0</v>
      </c>
      <c r="O34" s="7">
        <v>18.0</v>
      </c>
      <c r="Q34" s="15" t="s">
        <v>72</v>
      </c>
      <c r="R34" s="16">
        <v>450.0</v>
      </c>
      <c r="S34" s="16">
        <v>35.55</v>
      </c>
    </row>
    <row r="35">
      <c r="A35" s="1" t="s">
        <v>41</v>
      </c>
      <c r="B35" s="2"/>
      <c r="C35" s="3"/>
      <c r="E35" s="37" t="s">
        <v>110</v>
      </c>
      <c r="F35" s="38">
        <v>1.44</v>
      </c>
      <c r="I35" s="28" t="s">
        <v>111</v>
      </c>
      <c r="J35" s="28">
        <v>10.0</v>
      </c>
      <c r="K35" s="28">
        <v>2.25</v>
      </c>
      <c r="M35" s="7" t="s">
        <v>90</v>
      </c>
      <c r="N35" s="7">
        <v>150.0</v>
      </c>
      <c r="O35" s="39">
        <v>30.0</v>
      </c>
      <c r="Q35" s="15" t="s">
        <v>112</v>
      </c>
      <c r="R35" s="16">
        <v>50.0</v>
      </c>
      <c r="S35" s="16">
        <v>4.25</v>
      </c>
    </row>
    <row r="36">
      <c r="A36" s="7" t="s">
        <v>5</v>
      </c>
      <c r="B36" s="8" t="s">
        <v>6</v>
      </c>
      <c r="C36" s="17"/>
      <c r="E36" s="37" t="s">
        <v>113</v>
      </c>
      <c r="F36" s="38">
        <v>1.0</v>
      </c>
      <c r="I36" s="28" t="s">
        <v>73</v>
      </c>
      <c r="J36" s="28">
        <v>60.0</v>
      </c>
      <c r="K36" s="28">
        <v>2.0</v>
      </c>
      <c r="M36" s="8" t="s">
        <v>50</v>
      </c>
      <c r="N36" s="8">
        <f t="shared" ref="N36:O36" si="8">SUM(N34:N35)</f>
        <v>350</v>
      </c>
      <c r="O36" s="8">
        <f t="shared" si="8"/>
        <v>48</v>
      </c>
      <c r="Q36" s="15" t="s">
        <v>114</v>
      </c>
      <c r="R36" s="16">
        <v>50.0</v>
      </c>
      <c r="S36" s="16">
        <v>5.0</v>
      </c>
    </row>
    <row r="37">
      <c r="A37" s="32" t="s">
        <v>115</v>
      </c>
      <c r="B37" s="32">
        <v>500.0</v>
      </c>
      <c r="C37" s="11">
        <v>108.0</v>
      </c>
      <c r="E37" s="37" t="s">
        <v>116</v>
      </c>
      <c r="F37" s="38">
        <v>5.5</v>
      </c>
      <c r="I37" s="28" t="s">
        <v>117</v>
      </c>
      <c r="J37" s="28">
        <v>20.0</v>
      </c>
      <c r="K37" s="28">
        <v>6.0</v>
      </c>
      <c r="M37" s="9"/>
      <c r="N37" s="9"/>
      <c r="O37" s="9"/>
      <c r="Q37" s="15" t="s">
        <v>118</v>
      </c>
      <c r="R37" s="16">
        <v>17.0</v>
      </c>
      <c r="S37" s="16">
        <v>1.16</v>
      </c>
    </row>
    <row r="38">
      <c r="A38" s="32" t="s">
        <v>119</v>
      </c>
      <c r="B38" s="32">
        <v>120.0</v>
      </c>
      <c r="C38" s="11">
        <v>10.0</v>
      </c>
      <c r="E38" s="37" t="s">
        <v>120</v>
      </c>
      <c r="F38" s="38">
        <v>0.66</v>
      </c>
      <c r="I38" s="28" t="s">
        <v>121</v>
      </c>
      <c r="J38" s="28">
        <v>5.0</v>
      </c>
      <c r="K38" s="28">
        <v>1.0</v>
      </c>
      <c r="M38" s="9"/>
      <c r="N38" s="9"/>
      <c r="O38" s="9"/>
      <c r="Q38" s="15" t="s">
        <v>122</v>
      </c>
      <c r="R38" s="16">
        <v>5.0</v>
      </c>
      <c r="S38" s="16">
        <v>14.83</v>
      </c>
    </row>
    <row r="39">
      <c r="A39" s="8" t="s">
        <v>50</v>
      </c>
      <c r="B39" s="8">
        <f t="shared" ref="B39:C39" si="9">SUM(B37:B38)</f>
        <v>620</v>
      </c>
      <c r="C39" s="8">
        <f t="shared" si="9"/>
        <v>118</v>
      </c>
      <c r="E39" s="40" t="s">
        <v>50</v>
      </c>
      <c r="F39" s="36" t="s">
        <v>123</v>
      </c>
      <c r="I39" s="8" t="s">
        <v>50</v>
      </c>
      <c r="J39" s="8">
        <f t="shared" ref="J39:K39" si="10">SUM(J23:J38)</f>
        <v>324</v>
      </c>
      <c r="K39" s="8">
        <f t="shared" si="10"/>
        <v>98.85</v>
      </c>
      <c r="M39" s="1" t="s">
        <v>21</v>
      </c>
      <c r="N39" s="2"/>
      <c r="O39" s="3"/>
      <c r="Q39" s="15" t="s">
        <v>59</v>
      </c>
      <c r="R39" s="16">
        <v>572.0</v>
      </c>
      <c r="S39" s="16">
        <v>60.79</v>
      </c>
    </row>
    <row r="40">
      <c r="A40" s="9"/>
      <c r="B40" s="9"/>
      <c r="C40" s="9"/>
      <c r="I40" s="9"/>
      <c r="J40" s="9"/>
      <c r="K40" s="9"/>
      <c r="M40" s="7" t="s">
        <v>5</v>
      </c>
      <c r="N40" s="8" t="s">
        <v>6</v>
      </c>
      <c r="O40" s="8" t="s">
        <v>7</v>
      </c>
      <c r="Q40" s="9"/>
      <c r="R40" s="9"/>
      <c r="S40" s="9"/>
    </row>
    <row r="41">
      <c r="A41" s="9"/>
      <c r="B41" s="9"/>
      <c r="C41" s="9"/>
      <c r="I41" s="9"/>
      <c r="J41" s="9"/>
      <c r="K41" s="9"/>
      <c r="M41" s="7" t="s">
        <v>124</v>
      </c>
      <c r="N41" s="7">
        <v>200.0</v>
      </c>
      <c r="O41" s="7">
        <v>48.0</v>
      </c>
      <c r="Q41" s="4" t="s">
        <v>125</v>
      </c>
      <c r="R41" s="5"/>
      <c r="S41" s="6"/>
    </row>
    <row r="42">
      <c r="A42" s="1" t="s">
        <v>126</v>
      </c>
      <c r="B42" s="2"/>
      <c r="C42" s="3"/>
      <c r="I42" s="1" t="s">
        <v>14</v>
      </c>
      <c r="J42" s="2"/>
      <c r="K42" s="3"/>
      <c r="M42" s="7" t="s">
        <v>90</v>
      </c>
      <c r="N42" s="7">
        <v>150.0</v>
      </c>
      <c r="O42" s="11">
        <v>30.0</v>
      </c>
      <c r="Q42" s="13" t="s">
        <v>62</v>
      </c>
      <c r="R42" s="14" t="s">
        <v>17</v>
      </c>
      <c r="S42" s="14" t="s">
        <v>18</v>
      </c>
    </row>
    <row r="43">
      <c r="A43" s="7" t="s">
        <v>5</v>
      </c>
      <c r="B43" s="8" t="s">
        <v>6</v>
      </c>
      <c r="C43" s="8" t="s">
        <v>7</v>
      </c>
      <c r="I43" s="7" t="s">
        <v>5</v>
      </c>
      <c r="J43" s="8" t="s">
        <v>6</v>
      </c>
      <c r="K43" s="8" t="s">
        <v>7</v>
      </c>
      <c r="M43" s="8" t="s">
        <v>50</v>
      </c>
      <c r="N43" s="8">
        <f t="shared" ref="N43:O43" si="11">SUM(N41:N42)</f>
        <v>350</v>
      </c>
      <c r="O43" s="8">
        <f t="shared" si="11"/>
        <v>78</v>
      </c>
      <c r="Q43" s="15" t="s">
        <v>127</v>
      </c>
      <c r="R43" s="16">
        <v>100.0</v>
      </c>
      <c r="S43" s="16">
        <v>224.7</v>
      </c>
    </row>
    <row r="44">
      <c r="A44" s="11" t="s">
        <v>95</v>
      </c>
      <c r="B44" s="11">
        <v>100.0</v>
      </c>
      <c r="C44" s="11">
        <v>83.0</v>
      </c>
      <c r="I44" s="32" t="s">
        <v>128</v>
      </c>
      <c r="J44" s="32">
        <v>100.0</v>
      </c>
      <c r="K44" s="11">
        <v>54.0</v>
      </c>
      <c r="Q44" s="15" t="s">
        <v>129</v>
      </c>
      <c r="R44" s="16">
        <v>100.0</v>
      </c>
      <c r="S44" s="16">
        <v>21.57</v>
      </c>
    </row>
    <row r="45">
      <c r="A45" s="11" t="s">
        <v>130</v>
      </c>
      <c r="B45" s="11">
        <v>30.0</v>
      </c>
      <c r="C45" s="11">
        <v>25.0</v>
      </c>
      <c r="I45" s="32" t="s">
        <v>131</v>
      </c>
      <c r="J45" s="32">
        <v>1000.0</v>
      </c>
      <c r="K45" s="11">
        <v>79.0</v>
      </c>
      <c r="Q45" s="15" t="s">
        <v>59</v>
      </c>
      <c r="R45" s="16">
        <v>200.0</v>
      </c>
      <c r="S45" s="16">
        <v>246.27</v>
      </c>
    </row>
    <row r="46">
      <c r="A46" s="11" t="s">
        <v>117</v>
      </c>
      <c r="B46" s="11">
        <v>20.0</v>
      </c>
      <c r="C46" s="11">
        <v>5.04</v>
      </c>
      <c r="I46" s="32" t="s">
        <v>132</v>
      </c>
      <c r="J46" s="32">
        <v>5.0</v>
      </c>
      <c r="K46" s="11">
        <v>2.0</v>
      </c>
      <c r="M46" s="33" t="s">
        <v>133</v>
      </c>
      <c r="N46" s="3"/>
      <c r="Q46" s="9"/>
      <c r="R46" s="9"/>
      <c r="S46" s="9"/>
    </row>
    <row r="47">
      <c r="A47" s="11" t="s">
        <v>20</v>
      </c>
      <c r="B47" s="11">
        <v>5.0</v>
      </c>
      <c r="C47" s="11">
        <v>1.0</v>
      </c>
      <c r="I47" s="32" t="s">
        <v>134</v>
      </c>
      <c r="J47" s="32">
        <v>5.0</v>
      </c>
      <c r="K47" s="11">
        <v>4.2</v>
      </c>
      <c r="M47" s="41" t="s">
        <v>102</v>
      </c>
      <c r="N47" s="42" t="s">
        <v>103</v>
      </c>
      <c r="Q47" s="4" t="s">
        <v>31</v>
      </c>
      <c r="R47" s="5"/>
      <c r="S47" s="6"/>
    </row>
    <row r="48">
      <c r="A48" s="11" t="s">
        <v>135</v>
      </c>
      <c r="B48" s="11">
        <v>70.0</v>
      </c>
      <c r="C48" s="17"/>
      <c r="I48" s="32" t="s">
        <v>136</v>
      </c>
      <c r="J48" s="32">
        <v>100.0</v>
      </c>
      <c r="K48" s="11">
        <v>4.1</v>
      </c>
      <c r="M48" s="43" t="s">
        <v>137</v>
      </c>
      <c r="N48" s="44">
        <v>12.39</v>
      </c>
      <c r="Q48" s="13" t="s">
        <v>62</v>
      </c>
      <c r="R48" s="14" t="s">
        <v>17</v>
      </c>
      <c r="S48" s="14" t="s">
        <v>18</v>
      </c>
    </row>
    <row r="49">
      <c r="A49" s="11" t="s">
        <v>121</v>
      </c>
      <c r="B49" s="11">
        <v>250.0</v>
      </c>
      <c r="C49" s="11">
        <v>73.13</v>
      </c>
      <c r="I49" s="8" t="s">
        <v>50</v>
      </c>
      <c r="J49" s="8">
        <f t="shared" ref="J49:K49" si="12">SUM(J44:J48)</f>
        <v>1210</v>
      </c>
      <c r="K49" s="8">
        <f t="shared" si="12"/>
        <v>143.3</v>
      </c>
      <c r="M49" s="43" t="s">
        <v>138</v>
      </c>
      <c r="N49" s="44">
        <v>0.63</v>
      </c>
      <c r="Q49" s="15" t="s">
        <v>139</v>
      </c>
      <c r="R49" s="16">
        <v>20.0</v>
      </c>
      <c r="S49" s="16">
        <v>2.13</v>
      </c>
    </row>
    <row r="50">
      <c r="A50" s="8" t="s">
        <v>50</v>
      </c>
      <c r="B50" s="8">
        <f t="shared" ref="B50:C50" si="13">SUM(B44:B49)</f>
        <v>475</v>
      </c>
      <c r="C50" s="8">
        <f t="shared" si="13"/>
        <v>187.17</v>
      </c>
      <c r="M50" s="43" t="s">
        <v>140</v>
      </c>
      <c r="N50" s="44">
        <v>1.32</v>
      </c>
      <c r="Q50" s="15" t="s">
        <v>141</v>
      </c>
      <c r="R50" s="16">
        <v>15.0</v>
      </c>
      <c r="S50" s="16">
        <v>18.47</v>
      </c>
    </row>
    <row r="51">
      <c r="M51" s="43" t="s">
        <v>142</v>
      </c>
      <c r="N51" s="44">
        <v>15.0</v>
      </c>
      <c r="Q51" s="15" t="s">
        <v>143</v>
      </c>
      <c r="R51" s="16">
        <v>50.0</v>
      </c>
      <c r="S51" s="16">
        <v>36.58</v>
      </c>
    </row>
    <row r="52">
      <c r="I52" s="33" t="s">
        <v>144</v>
      </c>
      <c r="J52" s="3"/>
      <c r="M52" s="43" t="s">
        <v>145</v>
      </c>
      <c r="N52" s="44">
        <v>4.0</v>
      </c>
      <c r="Q52" s="15" t="s">
        <v>146</v>
      </c>
      <c r="R52" s="16">
        <v>15.0</v>
      </c>
      <c r="S52" s="16">
        <v>2.25</v>
      </c>
    </row>
    <row r="53">
      <c r="A53" s="27" t="s">
        <v>147</v>
      </c>
      <c r="B53" s="3"/>
      <c r="I53" s="41" t="s">
        <v>102</v>
      </c>
      <c r="J53" s="42" t="s">
        <v>103</v>
      </c>
      <c r="M53" s="45" t="s">
        <v>50</v>
      </c>
      <c r="N53" s="42" t="s">
        <v>148</v>
      </c>
      <c r="Q53" s="15" t="s">
        <v>59</v>
      </c>
      <c r="R53" s="16">
        <v>100.0</v>
      </c>
      <c r="S53" s="16">
        <v>59.42</v>
      </c>
    </row>
    <row r="54">
      <c r="A54" s="35" t="s">
        <v>102</v>
      </c>
      <c r="B54" s="36" t="s">
        <v>103</v>
      </c>
      <c r="I54" s="43" t="s">
        <v>137</v>
      </c>
      <c r="J54" s="44">
        <v>12.39</v>
      </c>
      <c r="Q54" s="9"/>
      <c r="R54" s="9"/>
      <c r="S54" s="9"/>
    </row>
    <row r="55">
      <c r="A55" s="37" t="s">
        <v>106</v>
      </c>
      <c r="B55" s="38">
        <v>23.0</v>
      </c>
      <c r="I55" s="43" t="s">
        <v>138</v>
      </c>
      <c r="J55" s="44">
        <v>0.63</v>
      </c>
      <c r="Q55" s="4" t="s">
        <v>149</v>
      </c>
      <c r="R55" s="5"/>
      <c r="S55" s="6"/>
    </row>
    <row r="56">
      <c r="A56" s="37" t="s">
        <v>107</v>
      </c>
      <c r="B56" s="38">
        <v>1.44</v>
      </c>
      <c r="I56" s="43" t="s">
        <v>140</v>
      </c>
      <c r="J56" s="44">
        <v>1.32</v>
      </c>
      <c r="Q56" s="13" t="s">
        <v>62</v>
      </c>
      <c r="R56" s="14" t="s">
        <v>17</v>
      </c>
      <c r="S56" s="14" t="s">
        <v>18</v>
      </c>
    </row>
    <row r="57">
      <c r="A57" s="37" t="s">
        <v>110</v>
      </c>
      <c r="B57" s="38">
        <v>1.44</v>
      </c>
      <c r="I57" s="43" t="s">
        <v>142</v>
      </c>
      <c r="J57" s="44">
        <v>15.0</v>
      </c>
      <c r="Q57" s="15" t="s">
        <v>31</v>
      </c>
      <c r="R57" s="16">
        <v>45.0</v>
      </c>
      <c r="S57" s="16">
        <v>26.74</v>
      </c>
    </row>
    <row r="58">
      <c r="A58" s="37" t="s">
        <v>113</v>
      </c>
      <c r="B58" s="38">
        <v>1.0</v>
      </c>
      <c r="I58" s="43" t="s">
        <v>145</v>
      </c>
      <c r="J58" s="44">
        <v>4.0</v>
      </c>
      <c r="Q58" s="15" t="s">
        <v>150</v>
      </c>
      <c r="R58" s="16">
        <v>0.8</v>
      </c>
      <c r="S58" s="16">
        <v>3.81</v>
      </c>
    </row>
    <row r="59">
      <c r="A59" s="37" t="s">
        <v>116</v>
      </c>
      <c r="B59" s="38">
        <v>5.5</v>
      </c>
      <c r="I59" s="45" t="s">
        <v>50</v>
      </c>
      <c r="J59" s="42" t="s">
        <v>148</v>
      </c>
      <c r="Q59" s="15" t="s">
        <v>59</v>
      </c>
      <c r="R59" s="16">
        <v>45.8</v>
      </c>
      <c r="S59" s="16">
        <v>30.55</v>
      </c>
    </row>
    <row r="60">
      <c r="A60" s="37" t="s">
        <v>120</v>
      </c>
      <c r="B60" s="38">
        <v>0.66</v>
      </c>
      <c r="Q60" s="9"/>
      <c r="R60" s="9"/>
      <c r="S60" s="9"/>
    </row>
    <row r="61">
      <c r="A61" s="40" t="s">
        <v>50</v>
      </c>
      <c r="B61" s="36" t="s">
        <v>123</v>
      </c>
      <c r="Q61" s="4" t="s">
        <v>151</v>
      </c>
      <c r="R61" s="5"/>
      <c r="S61" s="6"/>
    </row>
    <row r="62">
      <c r="Q62" s="13" t="s">
        <v>62</v>
      </c>
      <c r="R62" s="14" t="s">
        <v>17</v>
      </c>
      <c r="S62" s="14" t="s">
        <v>18</v>
      </c>
    </row>
    <row r="63">
      <c r="Q63" s="15" t="s">
        <v>152</v>
      </c>
      <c r="R63" s="16">
        <v>100.0</v>
      </c>
      <c r="S63" s="16">
        <v>0.0</v>
      </c>
    </row>
    <row r="64">
      <c r="Q64" s="15" t="s">
        <v>150</v>
      </c>
      <c r="R64" s="16">
        <v>8.0</v>
      </c>
      <c r="S64" s="16">
        <v>38.12</v>
      </c>
    </row>
    <row r="65">
      <c r="Q65" s="15" t="s">
        <v>59</v>
      </c>
      <c r="R65" s="16">
        <v>108.0</v>
      </c>
      <c r="S65" s="16">
        <v>38.12</v>
      </c>
    </row>
    <row r="66">
      <c r="Q66" s="9"/>
      <c r="R66" s="9"/>
      <c r="S66" s="9"/>
    </row>
    <row r="67">
      <c r="Q67" s="4" t="s">
        <v>45</v>
      </c>
      <c r="R67" s="5"/>
      <c r="S67" s="6"/>
    </row>
    <row r="68">
      <c r="Q68" s="13" t="s">
        <v>62</v>
      </c>
      <c r="R68" s="14" t="s">
        <v>17</v>
      </c>
      <c r="S68" s="14" t="s">
        <v>18</v>
      </c>
    </row>
    <row r="69">
      <c r="Q69" s="15" t="s">
        <v>112</v>
      </c>
      <c r="R69" s="16">
        <v>86.0</v>
      </c>
      <c r="S69" s="16">
        <v>7.31</v>
      </c>
    </row>
    <row r="70">
      <c r="Q70" s="15" t="s">
        <v>153</v>
      </c>
      <c r="R70" s="16">
        <v>43.0</v>
      </c>
      <c r="S70" s="16">
        <v>1.76</v>
      </c>
    </row>
    <row r="71">
      <c r="Q71" s="15" t="s">
        <v>46</v>
      </c>
      <c r="R71" s="16">
        <v>20.0</v>
      </c>
      <c r="S71" s="16">
        <v>1.0</v>
      </c>
    </row>
    <row r="72">
      <c r="Q72" s="15" t="s">
        <v>64</v>
      </c>
      <c r="R72" s="16">
        <v>32.0</v>
      </c>
      <c r="S72" s="16">
        <v>6.13</v>
      </c>
    </row>
    <row r="73">
      <c r="Q73" s="15" t="s">
        <v>152</v>
      </c>
      <c r="R73" s="16">
        <v>60.0</v>
      </c>
      <c r="S73" s="16">
        <v>0.0</v>
      </c>
    </row>
    <row r="74">
      <c r="Q74" s="15" t="s">
        <v>20</v>
      </c>
      <c r="R74" s="16">
        <v>1.5</v>
      </c>
      <c r="S74" s="16">
        <v>0.04</v>
      </c>
    </row>
    <row r="75">
      <c r="Q75" s="15" t="s">
        <v>154</v>
      </c>
      <c r="R75" s="16">
        <v>20.0</v>
      </c>
      <c r="S75" s="16">
        <v>33.02</v>
      </c>
    </row>
    <row r="76">
      <c r="Q76" s="15" t="s">
        <v>59</v>
      </c>
      <c r="R76" s="16">
        <v>262.5</v>
      </c>
      <c r="S76" s="16">
        <v>49.26</v>
      </c>
    </row>
    <row r="79">
      <c r="Q79" s="35" t="s">
        <v>4</v>
      </c>
      <c r="R79" s="35"/>
      <c r="S79" s="46"/>
    </row>
    <row r="80">
      <c r="Q80" s="41" t="s">
        <v>102</v>
      </c>
      <c r="R80" s="42" t="s">
        <v>103</v>
      </c>
    </row>
    <row r="81">
      <c r="Q81" s="43" t="s">
        <v>155</v>
      </c>
      <c r="R81" s="44">
        <v>4.13</v>
      </c>
    </row>
    <row r="82">
      <c r="Q82" s="43" t="s">
        <v>156</v>
      </c>
      <c r="R82" s="44">
        <v>0.63</v>
      </c>
    </row>
    <row r="83">
      <c r="Q83" s="43" t="s">
        <v>120</v>
      </c>
      <c r="R83" s="44">
        <v>0.66</v>
      </c>
    </row>
    <row r="84">
      <c r="Q84" s="43" t="s">
        <v>142</v>
      </c>
      <c r="R84" s="44">
        <v>15.0</v>
      </c>
    </row>
    <row r="85">
      <c r="Q85" s="43" t="s">
        <v>145</v>
      </c>
      <c r="R85" s="44">
        <v>4.0</v>
      </c>
    </row>
    <row r="86">
      <c r="Q86" s="43" t="s">
        <v>157</v>
      </c>
      <c r="R86" s="44">
        <v>1.77</v>
      </c>
    </row>
    <row r="87">
      <c r="Q87" s="45" t="s">
        <v>50</v>
      </c>
      <c r="R87" s="42" t="s">
        <v>158</v>
      </c>
    </row>
  </sheetData>
  <mergeCells count="27">
    <mergeCell ref="A1:C1"/>
    <mergeCell ref="E1:G1"/>
    <mergeCell ref="I1:K1"/>
    <mergeCell ref="M1:O1"/>
    <mergeCell ref="Q1:S1"/>
    <mergeCell ref="Q3:S3"/>
    <mergeCell ref="Q16:S16"/>
    <mergeCell ref="A28:C28"/>
    <mergeCell ref="A35:C35"/>
    <mergeCell ref="A42:C42"/>
    <mergeCell ref="A53:B53"/>
    <mergeCell ref="A18:C18"/>
    <mergeCell ref="E18:G18"/>
    <mergeCell ref="M20:O20"/>
    <mergeCell ref="I21:K21"/>
    <mergeCell ref="E31:F31"/>
    <mergeCell ref="M32:O32"/>
    <mergeCell ref="Q32:S32"/>
    <mergeCell ref="Q61:S61"/>
    <mergeCell ref="Q67:S67"/>
    <mergeCell ref="M39:O39"/>
    <mergeCell ref="Q41:S41"/>
    <mergeCell ref="I42:K42"/>
    <mergeCell ref="M46:N46"/>
    <mergeCell ref="Q47:S47"/>
    <mergeCell ref="I52:J52"/>
    <mergeCell ref="Q55:S5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5" max="5" width="23.25"/>
    <col customWidth="1" min="9" max="9" width="33.25"/>
    <col customWidth="1" min="13" max="13" width="33.25"/>
    <col customWidth="1" min="21" max="21" width="33.25"/>
    <col customWidth="1" min="25" max="25" width="36.25"/>
  </cols>
  <sheetData>
    <row r="1">
      <c r="A1" s="47" t="s">
        <v>159</v>
      </c>
      <c r="B1" s="2"/>
      <c r="C1" s="3"/>
      <c r="E1" s="47" t="s">
        <v>160</v>
      </c>
      <c r="F1" s="2"/>
      <c r="G1" s="3"/>
      <c r="I1" s="47" t="s">
        <v>161</v>
      </c>
      <c r="J1" s="2"/>
      <c r="K1" s="3"/>
      <c r="M1" s="48" t="s">
        <v>162</v>
      </c>
      <c r="N1" s="2"/>
      <c r="O1" s="3"/>
      <c r="Q1" s="4" t="s">
        <v>163</v>
      </c>
      <c r="R1" s="5"/>
      <c r="S1" s="6"/>
      <c r="U1" s="1" t="s">
        <v>164</v>
      </c>
      <c r="V1" s="2"/>
      <c r="W1" s="3"/>
    </row>
    <row r="2">
      <c r="A2" s="49" t="s">
        <v>5</v>
      </c>
      <c r="B2" s="50" t="s">
        <v>6</v>
      </c>
      <c r="C2" s="50" t="s">
        <v>7</v>
      </c>
      <c r="E2" s="49" t="s">
        <v>5</v>
      </c>
      <c r="F2" s="51" t="s">
        <v>6</v>
      </c>
      <c r="G2" s="51" t="s">
        <v>7</v>
      </c>
      <c r="I2" s="49" t="s">
        <v>5</v>
      </c>
      <c r="J2" s="50" t="s">
        <v>6</v>
      </c>
      <c r="K2" s="50" t="s">
        <v>7</v>
      </c>
      <c r="M2" s="49" t="s">
        <v>5</v>
      </c>
      <c r="N2" s="50" t="s">
        <v>6</v>
      </c>
      <c r="O2" s="50" t="s">
        <v>7</v>
      </c>
      <c r="Q2" s="9"/>
      <c r="R2" s="9"/>
      <c r="S2" s="9"/>
      <c r="U2" s="7" t="s">
        <v>5</v>
      </c>
      <c r="V2" s="35" t="s">
        <v>6</v>
      </c>
      <c r="W2" s="35" t="s">
        <v>7</v>
      </c>
      <c r="Y2" s="52" t="s">
        <v>165</v>
      </c>
      <c r="Z2" s="2"/>
      <c r="AA2" s="3"/>
    </row>
    <row r="3">
      <c r="A3" s="53" t="s">
        <v>90</v>
      </c>
      <c r="B3" s="53">
        <v>15.0</v>
      </c>
      <c r="C3" s="54">
        <v>3.0</v>
      </c>
      <c r="E3" s="53" t="s">
        <v>152</v>
      </c>
      <c r="F3" s="53">
        <v>15.0</v>
      </c>
      <c r="G3" s="17"/>
      <c r="I3" s="55" t="s">
        <v>166</v>
      </c>
      <c r="J3" s="54">
        <v>30.0</v>
      </c>
      <c r="K3" s="54">
        <v>15.0</v>
      </c>
      <c r="M3" s="56" t="s">
        <v>167</v>
      </c>
      <c r="N3" s="56">
        <v>120.0</v>
      </c>
      <c r="O3" s="56">
        <v>5.0</v>
      </c>
      <c r="Q3" s="57" t="s">
        <v>168</v>
      </c>
      <c r="R3" s="58"/>
      <c r="S3" s="59"/>
      <c r="U3" s="22" t="s">
        <v>169</v>
      </c>
      <c r="V3" s="22">
        <v>1.4</v>
      </c>
      <c r="W3" s="22">
        <v>6.0</v>
      </c>
      <c r="Y3" s="60" t="s">
        <v>5</v>
      </c>
      <c r="Z3" s="61" t="s">
        <v>6</v>
      </c>
      <c r="AA3" s="61" t="s">
        <v>7</v>
      </c>
    </row>
    <row r="4">
      <c r="A4" s="53" t="s">
        <v>170</v>
      </c>
      <c r="B4" s="62">
        <v>90.0</v>
      </c>
      <c r="C4" s="54">
        <v>18.0</v>
      </c>
      <c r="E4" s="53" t="s">
        <v>171</v>
      </c>
      <c r="F4" s="53">
        <v>133.33</v>
      </c>
      <c r="G4" s="53">
        <v>85.0</v>
      </c>
      <c r="I4" s="55" t="s">
        <v>172</v>
      </c>
      <c r="J4" s="54">
        <v>30.0</v>
      </c>
      <c r="K4" s="54">
        <v>4.0</v>
      </c>
      <c r="M4" s="56" t="s">
        <v>170</v>
      </c>
      <c r="N4" s="56">
        <v>25.0</v>
      </c>
      <c r="O4" s="56">
        <v>5.0</v>
      </c>
      <c r="Q4" s="13" t="s">
        <v>62</v>
      </c>
      <c r="R4" s="14" t="s">
        <v>17</v>
      </c>
      <c r="S4" s="14" t="s">
        <v>18</v>
      </c>
      <c r="U4" s="22" t="s">
        <v>173</v>
      </c>
      <c r="V4" s="11">
        <v>120.0</v>
      </c>
      <c r="W4" s="22">
        <v>32.0</v>
      </c>
      <c r="Y4" s="63" t="s">
        <v>174</v>
      </c>
      <c r="Z4" s="64">
        <v>75.0</v>
      </c>
      <c r="AA4" s="64">
        <v>10.0</v>
      </c>
    </row>
    <row r="5">
      <c r="A5" s="53" t="s">
        <v>124</v>
      </c>
      <c r="B5" s="62">
        <v>8.0</v>
      </c>
      <c r="C5" s="54">
        <v>2.01</v>
      </c>
      <c r="E5" s="53" t="s">
        <v>175</v>
      </c>
      <c r="F5" s="53">
        <v>30.0</v>
      </c>
      <c r="G5" s="53">
        <v>13.0</v>
      </c>
      <c r="I5" s="55" t="s">
        <v>176</v>
      </c>
      <c r="J5" s="54">
        <v>30.0</v>
      </c>
      <c r="K5" s="54">
        <v>16.0</v>
      </c>
      <c r="M5" s="56" t="s">
        <v>177</v>
      </c>
      <c r="N5" s="56">
        <v>5.0</v>
      </c>
      <c r="O5" s="54">
        <v>2.0</v>
      </c>
      <c r="Q5" s="15" t="s">
        <v>178</v>
      </c>
      <c r="R5" s="16">
        <v>20.5</v>
      </c>
      <c r="S5" s="16">
        <v>7.38</v>
      </c>
      <c r="U5" s="22" t="s">
        <v>179</v>
      </c>
      <c r="V5" s="22">
        <v>4.0</v>
      </c>
      <c r="W5" s="22">
        <v>2.0</v>
      </c>
      <c r="Y5" s="63" t="s">
        <v>180</v>
      </c>
      <c r="Z5" s="65">
        <v>125.0</v>
      </c>
      <c r="AA5" s="65">
        <v>53.0</v>
      </c>
    </row>
    <row r="6">
      <c r="A6" s="53" t="s">
        <v>181</v>
      </c>
      <c r="B6" s="53">
        <v>300.0</v>
      </c>
      <c r="C6" s="54">
        <v>42.0</v>
      </c>
      <c r="E6" s="55" t="s">
        <v>20</v>
      </c>
      <c r="F6" s="55">
        <v>0.3</v>
      </c>
      <c r="G6" s="53">
        <v>1.0</v>
      </c>
      <c r="I6" s="55" t="s">
        <v>182</v>
      </c>
      <c r="J6" s="54">
        <v>30.0</v>
      </c>
      <c r="K6" s="54">
        <v>8.0</v>
      </c>
      <c r="M6" s="56" t="s">
        <v>55</v>
      </c>
      <c r="N6" s="56">
        <v>7.0</v>
      </c>
      <c r="O6" s="56">
        <v>3.0</v>
      </c>
      <c r="Q6" s="15" t="s">
        <v>183</v>
      </c>
      <c r="R6" s="16">
        <v>15.0</v>
      </c>
      <c r="S6" s="16">
        <v>15.17</v>
      </c>
      <c r="U6" s="22" t="s">
        <v>184</v>
      </c>
      <c r="V6" s="22">
        <v>4.0</v>
      </c>
      <c r="W6" s="22">
        <v>1.0</v>
      </c>
      <c r="Y6" s="63" t="s">
        <v>185</v>
      </c>
      <c r="Z6" s="66">
        <v>180.0</v>
      </c>
      <c r="AA6" s="67">
        <v>30.0</v>
      </c>
    </row>
    <row r="7">
      <c r="A7" s="53" t="s">
        <v>186</v>
      </c>
      <c r="B7" s="62">
        <v>25.0</v>
      </c>
      <c r="C7" s="54">
        <v>24.0</v>
      </c>
      <c r="E7" s="55" t="s">
        <v>87</v>
      </c>
      <c r="F7" s="53">
        <v>1.0</v>
      </c>
      <c r="G7" s="53">
        <v>1.0</v>
      </c>
      <c r="I7" s="55" t="s">
        <v>187</v>
      </c>
      <c r="J7" s="54">
        <v>40.0</v>
      </c>
      <c r="K7" s="54">
        <v>12.0</v>
      </c>
      <c r="M7" s="56" t="s">
        <v>188</v>
      </c>
      <c r="N7" s="56">
        <v>5.0</v>
      </c>
      <c r="O7" s="56">
        <v>5.3</v>
      </c>
      <c r="Q7" s="15" t="s">
        <v>189</v>
      </c>
      <c r="R7" s="16">
        <v>280.0</v>
      </c>
      <c r="S7" s="16">
        <v>133.07</v>
      </c>
      <c r="U7" s="22" t="s">
        <v>190</v>
      </c>
      <c r="V7" s="22">
        <v>25.0</v>
      </c>
      <c r="W7" s="22">
        <v>22.1</v>
      </c>
      <c r="Y7" s="68" t="s">
        <v>191</v>
      </c>
      <c r="Z7" s="66">
        <v>5.0</v>
      </c>
      <c r="AA7" s="69">
        <v>1.0</v>
      </c>
    </row>
    <row r="8">
      <c r="A8" s="53" t="s">
        <v>192</v>
      </c>
      <c r="B8" s="62">
        <v>20.0</v>
      </c>
      <c r="C8" s="54">
        <v>16.56</v>
      </c>
      <c r="E8" s="55" t="s">
        <v>83</v>
      </c>
      <c r="F8" s="55">
        <v>0.5</v>
      </c>
      <c r="G8" s="53">
        <v>1.0</v>
      </c>
      <c r="I8" s="55" t="s">
        <v>193</v>
      </c>
      <c r="J8" s="54">
        <v>200.0</v>
      </c>
      <c r="K8" s="54">
        <v>45.0</v>
      </c>
      <c r="M8" s="56" t="s">
        <v>96</v>
      </c>
      <c r="N8" s="56">
        <v>10.0</v>
      </c>
      <c r="O8" s="56">
        <v>1.0</v>
      </c>
      <c r="Q8" s="15" t="s">
        <v>194</v>
      </c>
      <c r="R8" s="16">
        <v>21.0</v>
      </c>
      <c r="S8" s="16">
        <v>12.67</v>
      </c>
      <c r="U8" s="22" t="s">
        <v>195</v>
      </c>
      <c r="V8" s="22">
        <v>9.0</v>
      </c>
      <c r="W8" s="22">
        <v>2.3</v>
      </c>
      <c r="Y8" s="68" t="s">
        <v>196</v>
      </c>
      <c r="Z8" s="69">
        <v>3.0</v>
      </c>
      <c r="AA8" s="69">
        <v>1.0</v>
      </c>
    </row>
    <row r="9">
      <c r="A9" s="53" t="s">
        <v>197</v>
      </c>
      <c r="B9" s="53">
        <v>10.0</v>
      </c>
      <c r="C9" s="54">
        <v>1.0</v>
      </c>
      <c r="E9" s="55" t="s">
        <v>96</v>
      </c>
      <c r="F9" s="53">
        <v>2.0</v>
      </c>
      <c r="G9" s="53">
        <v>1.0</v>
      </c>
      <c r="I9" s="55" t="s">
        <v>152</v>
      </c>
      <c r="J9" s="54">
        <v>30.0</v>
      </c>
      <c r="K9" s="37"/>
      <c r="M9" s="56" t="s">
        <v>198</v>
      </c>
      <c r="N9" s="56">
        <v>5.0</v>
      </c>
      <c r="O9" s="56">
        <v>1.26</v>
      </c>
      <c r="Q9" s="15" t="s">
        <v>199</v>
      </c>
      <c r="R9" s="16">
        <v>2.0</v>
      </c>
      <c r="S9" s="16">
        <v>6.7</v>
      </c>
      <c r="U9" s="22" t="s">
        <v>96</v>
      </c>
      <c r="V9" s="22">
        <v>8.0</v>
      </c>
      <c r="W9" s="22">
        <v>1.0</v>
      </c>
      <c r="Y9" s="70" t="s">
        <v>200</v>
      </c>
      <c r="Z9" s="64">
        <v>2.0</v>
      </c>
      <c r="AA9" s="64">
        <v>1.0</v>
      </c>
    </row>
    <row r="10">
      <c r="A10" s="53" t="s">
        <v>201</v>
      </c>
      <c r="B10" s="53">
        <v>10.0</v>
      </c>
      <c r="C10" s="54">
        <v>70.81</v>
      </c>
      <c r="E10" s="55" t="s">
        <v>202</v>
      </c>
      <c r="F10" s="53">
        <v>1.0</v>
      </c>
      <c r="G10" s="53">
        <v>1.0</v>
      </c>
      <c r="I10" s="55" t="s">
        <v>87</v>
      </c>
      <c r="J10" s="54">
        <v>2.0</v>
      </c>
      <c r="K10" s="54">
        <v>1.0</v>
      </c>
      <c r="M10" s="56" t="s">
        <v>203</v>
      </c>
      <c r="N10" s="56">
        <v>10.0</v>
      </c>
      <c r="O10" s="56">
        <v>5.0</v>
      </c>
      <c r="Q10" s="15" t="s">
        <v>52</v>
      </c>
      <c r="R10" s="16">
        <v>338.5</v>
      </c>
      <c r="S10" s="16">
        <v>174.99</v>
      </c>
      <c r="U10" s="22" t="s">
        <v>204</v>
      </c>
      <c r="V10" s="22">
        <v>25.0</v>
      </c>
      <c r="W10" s="22">
        <v>5.37</v>
      </c>
      <c r="Y10" s="71" t="s">
        <v>50</v>
      </c>
      <c r="Z10" s="61">
        <f t="shared" ref="Z10:AA10" si="1">SUM(Z4:Z9)</f>
        <v>390</v>
      </c>
      <c r="AA10" s="61">
        <f t="shared" si="1"/>
        <v>96</v>
      </c>
    </row>
    <row r="11">
      <c r="A11" s="53" t="s">
        <v>20</v>
      </c>
      <c r="B11" s="53">
        <v>3.0</v>
      </c>
      <c r="C11" s="54">
        <v>1.0</v>
      </c>
      <c r="E11" s="55" t="s">
        <v>205</v>
      </c>
      <c r="F11" s="53">
        <v>2.0</v>
      </c>
      <c r="G11" s="53">
        <v>1.0</v>
      </c>
      <c r="I11" s="55" t="s">
        <v>206</v>
      </c>
      <c r="J11" s="54">
        <v>2.0</v>
      </c>
      <c r="K11" s="54">
        <v>3.0</v>
      </c>
      <c r="M11" s="56" t="s">
        <v>96</v>
      </c>
      <c r="N11" s="56">
        <v>25.0</v>
      </c>
      <c r="O11" s="56">
        <v>3.0</v>
      </c>
      <c r="Q11" s="15" t="s">
        <v>56</v>
      </c>
      <c r="R11" s="15"/>
      <c r="S11" s="16">
        <v>8.75</v>
      </c>
      <c r="U11" s="22" t="s">
        <v>207</v>
      </c>
      <c r="V11" s="22">
        <v>15.0</v>
      </c>
      <c r="W11" s="22">
        <v>2.0</v>
      </c>
      <c r="Y11" s="71" t="s">
        <v>53</v>
      </c>
      <c r="Z11" s="72">
        <v>0.05</v>
      </c>
      <c r="AA11" s="61">
        <f>Sum(AA10*5%)</f>
        <v>4.8</v>
      </c>
    </row>
    <row r="12">
      <c r="A12" s="53" t="s">
        <v>87</v>
      </c>
      <c r="B12" s="53">
        <v>2.0</v>
      </c>
      <c r="C12" s="54">
        <v>1.0</v>
      </c>
      <c r="E12" s="51" t="s">
        <v>50</v>
      </c>
      <c r="F12" s="51">
        <f t="shared" ref="F12:G12" si="2">SUM(F3:F11)</f>
        <v>185.13</v>
      </c>
      <c r="G12" s="51">
        <f t="shared" si="2"/>
        <v>104</v>
      </c>
      <c r="I12" s="55" t="s">
        <v>208</v>
      </c>
      <c r="J12" s="54">
        <v>2.0</v>
      </c>
      <c r="K12" s="54">
        <v>1.0</v>
      </c>
      <c r="M12" s="73" t="s">
        <v>209</v>
      </c>
      <c r="N12" s="73">
        <v>30.0</v>
      </c>
      <c r="O12" s="56">
        <v>11.0</v>
      </c>
      <c r="Q12" s="15" t="s">
        <v>59</v>
      </c>
      <c r="R12" s="15"/>
      <c r="S12" s="16">
        <v>183.74</v>
      </c>
      <c r="U12" s="22" t="s">
        <v>210</v>
      </c>
      <c r="V12" s="22">
        <v>4.0</v>
      </c>
      <c r="W12" s="22">
        <v>1.65</v>
      </c>
      <c r="Y12" s="9"/>
      <c r="Z12" s="9"/>
      <c r="AA12" s="74">
        <f>SUM(AA10:AA11)</f>
        <v>100.8</v>
      </c>
    </row>
    <row r="13">
      <c r="A13" s="53" t="s">
        <v>211</v>
      </c>
      <c r="B13" s="53">
        <v>2.0</v>
      </c>
      <c r="C13" s="54">
        <v>3.0</v>
      </c>
      <c r="E13" s="51" t="s">
        <v>53</v>
      </c>
      <c r="F13" s="75">
        <v>0.05</v>
      </c>
      <c r="G13" s="51">
        <f>Sum(G12*5%)</f>
        <v>5.2</v>
      </c>
      <c r="I13" s="55" t="s">
        <v>212</v>
      </c>
      <c r="J13" s="54">
        <v>250.0</v>
      </c>
      <c r="K13" s="54">
        <v>35.0</v>
      </c>
      <c r="M13" s="50" t="s">
        <v>50</v>
      </c>
      <c r="N13" s="50">
        <f t="shared" ref="N13:O13" si="3">SUM(N3:N12)</f>
        <v>242</v>
      </c>
      <c r="O13" s="50">
        <f t="shared" si="3"/>
        <v>41.56</v>
      </c>
      <c r="Q13" s="9"/>
      <c r="R13" s="9"/>
      <c r="S13" s="9"/>
      <c r="U13" s="22" t="s">
        <v>213</v>
      </c>
      <c r="V13" s="22">
        <v>5.0</v>
      </c>
      <c r="W13" s="22">
        <v>3.1</v>
      </c>
      <c r="Y13" s="9"/>
      <c r="Z13" s="9"/>
      <c r="AA13" s="9"/>
    </row>
    <row r="14">
      <c r="A14" s="53" t="s">
        <v>208</v>
      </c>
      <c r="B14" s="53">
        <v>2.0</v>
      </c>
      <c r="C14" s="54">
        <v>1.0</v>
      </c>
      <c r="E14" s="17"/>
      <c r="F14" s="17"/>
      <c r="G14" s="53">
        <f>SUM(G12:G13)</f>
        <v>109.2</v>
      </c>
      <c r="I14" s="55" t="s">
        <v>214</v>
      </c>
      <c r="J14" s="54">
        <v>5.0</v>
      </c>
      <c r="K14" s="54">
        <v>1.0</v>
      </c>
      <c r="M14" s="50" t="s">
        <v>53</v>
      </c>
      <c r="N14" s="76">
        <v>0.05</v>
      </c>
      <c r="O14" s="50">
        <f>Sum(O13*5%)</f>
        <v>2.078</v>
      </c>
      <c r="Q14" s="4" t="s">
        <v>189</v>
      </c>
      <c r="R14" s="5"/>
      <c r="S14" s="6"/>
      <c r="U14" s="22" t="s">
        <v>215</v>
      </c>
      <c r="V14" s="22">
        <v>20.0</v>
      </c>
      <c r="W14" s="22">
        <v>5.82</v>
      </c>
      <c r="Y14" s="77"/>
      <c r="Z14" s="77"/>
      <c r="AA14" s="77"/>
    </row>
    <row r="15">
      <c r="A15" s="53" t="s">
        <v>216</v>
      </c>
      <c r="B15" s="53">
        <v>2.0</v>
      </c>
      <c r="C15" s="54">
        <v>1.0</v>
      </c>
      <c r="E15" s="37"/>
      <c r="F15" s="37"/>
      <c r="G15" s="78"/>
      <c r="I15" s="55" t="s">
        <v>217</v>
      </c>
      <c r="J15" s="54">
        <v>20.0</v>
      </c>
      <c r="K15" s="54">
        <v>4.3</v>
      </c>
      <c r="M15" s="9"/>
      <c r="N15" s="9"/>
      <c r="O15" s="74">
        <f>SUM(O13:O14)</f>
        <v>43.638</v>
      </c>
      <c r="Q15" s="79" t="s">
        <v>62</v>
      </c>
      <c r="R15" s="80" t="s">
        <v>17</v>
      </c>
      <c r="S15" s="80" t="s">
        <v>18</v>
      </c>
      <c r="U15" s="22" t="s">
        <v>218</v>
      </c>
      <c r="V15" s="22">
        <v>3.0</v>
      </c>
      <c r="W15" s="22">
        <v>2.0</v>
      </c>
      <c r="Y15" s="81" t="s">
        <v>180</v>
      </c>
      <c r="Z15" s="82"/>
      <c r="AA15" s="83"/>
    </row>
    <row r="16">
      <c r="A16" s="53" t="s">
        <v>219</v>
      </c>
      <c r="B16" s="54">
        <v>25.0</v>
      </c>
      <c r="C16" s="54">
        <v>9.14</v>
      </c>
      <c r="E16" s="9"/>
      <c r="F16" s="9"/>
      <c r="G16" s="9"/>
      <c r="I16" s="55" t="s">
        <v>220</v>
      </c>
      <c r="J16" s="54">
        <v>5.0</v>
      </c>
      <c r="K16" s="54">
        <v>1.0</v>
      </c>
      <c r="M16" s="9"/>
      <c r="N16" s="9"/>
      <c r="O16" s="9"/>
      <c r="Q16" s="15" t="s">
        <v>221</v>
      </c>
      <c r="R16" s="16">
        <v>120.0</v>
      </c>
      <c r="S16" s="16">
        <v>44.4</v>
      </c>
      <c r="U16" s="35" t="s">
        <v>50</v>
      </c>
      <c r="V16" s="84">
        <f t="shared" ref="V16:W16" si="4">SUM(V3:V15)</f>
        <v>243.4</v>
      </c>
      <c r="W16" s="84">
        <f t="shared" si="4"/>
        <v>86.34</v>
      </c>
      <c r="Y16" s="60" t="s">
        <v>5</v>
      </c>
      <c r="Z16" s="85" t="s">
        <v>6</v>
      </c>
      <c r="AA16" s="31" t="s">
        <v>7</v>
      </c>
    </row>
    <row r="17">
      <c r="A17" s="50" t="s">
        <v>50</v>
      </c>
      <c r="B17" s="50">
        <f t="shared" ref="B17:C17" si="5">SUM(B3:B16)</f>
        <v>514</v>
      </c>
      <c r="C17" s="50">
        <f t="shared" si="5"/>
        <v>193.52</v>
      </c>
      <c r="E17" s="9"/>
      <c r="F17" s="9"/>
      <c r="G17" s="9"/>
      <c r="I17" s="55" t="s">
        <v>222</v>
      </c>
      <c r="J17" s="54">
        <v>5.0</v>
      </c>
      <c r="K17" s="54">
        <v>1.0</v>
      </c>
      <c r="M17" s="9"/>
      <c r="N17" s="9"/>
      <c r="O17" s="9"/>
      <c r="Q17" s="15" t="s">
        <v>223</v>
      </c>
      <c r="R17" s="16">
        <v>30.0</v>
      </c>
      <c r="S17" s="16">
        <v>6.47</v>
      </c>
      <c r="U17" s="86" t="s">
        <v>53</v>
      </c>
      <c r="V17" s="87">
        <v>0.05</v>
      </c>
      <c r="W17" s="88">
        <f>Sum(W16*5%)</f>
        <v>4.317</v>
      </c>
      <c r="Y17" s="70" t="s">
        <v>190</v>
      </c>
      <c r="Z17" s="64">
        <v>95.0</v>
      </c>
      <c r="AA17" s="64">
        <v>68.0</v>
      </c>
    </row>
    <row r="18">
      <c r="A18" s="50" t="s">
        <v>53</v>
      </c>
      <c r="B18" s="76">
        <v>0.05</v>
      </c>
      <c r="C18" s="50">
        <f>Sum(C17*5%)</f>
        <v>9.676</v>
      </c>
      <c r="E18" s="9"/>
      <c r="F18" s="9"/>
      <c r="G18" s="9"/>
      <c r="I18" s="50" t="s">
        <v>50</v>
      </c>
      <c r="J18" s="50">
        <f t="shared" ref="J18:K18" si="6">SUM(J3:J17)</f>
        <v>681</v>
      </c>
      <c r="K18" s="50">
        <f t="shared" si="6"/>
        <v>147.3</v>
      </c>
      <c r="M18" s="27" t="s">
        <v>209</v>
      </c>
      <c r="N18" s="2"/>
      <c r="O18" s="3"/>
      <c r="Q18" s="15" t="s">
        <v>224</v>
      </c>
      <c r="R18" s="16">
        <v>2.0</v>
      </c>
      <c r="S18" s="16">
        <v>50.4</v>
      </c>
      <c r="U18" s="9"/>
      <c r="V18" s="89"/>
      <c r="W18" s="64">
        <f>W16+W17</f>
        <v>90.657</v>
      </c>
      <c r="Y18" s="70" t="s">
        <v>225</v>
      </c>
      <c r="Z18" s="64">
        <v>100.0</v>
      </c>
      <c r="AA18" s="64">
        <v>25.0</v>
      </c>
    </row>
    <row r="19">
      <c r="A19" s="37"/>
      <c r="B19" s="37"/>
      <c r="C19" s="54">
        <f>SUM(C17:C18)</f>
        <v>203.196</v>
      </c>
      <c r="E19" s="9"/>
      <c r="F19" s="9"/>
      <c r="G19" s="9"/>
      <c r="I19" s="50" t="s">
        <v>53</v>
      </c>
      <c r="J19" s="76">
        <v>0.05</v>
      </c>
      <c r="K19" s="50">
        <f>Sum(K18*5%)</f>
        <v>7.365</v>
      </c>
      <c r="M19" s="7" t="s">
        <v>5</v>
      </c>
      <c r="N19" s="35" t="s">
        <v>6</v>
      </c>
      <c r="O19" s="35" t="s">
        <v>7</v>
      </c>
      <c r="Q19" s="15" t="s">
        <v>226</v>
      </c>
      <c r="R19" s="16">
        <v>300.0</v>
      </c>
      <c r="S19" s="16">
        <v>219.47</v>
      </c>
      <c r="U19" s="9"/>
      <c r="V19" s="9"/>
      <c r="W19" s="9"/>
      <c r="Y19" s="70" t="s">
        <v>227</v>
      </c>
      <c r="Z19" s="64">
        <v>100.0</v>
      </c>
      <c r="AA19" s="64">
        <v>36.0</v>
      </c>
    </row>
    <row r="20">
      <c r="A20" s="9"/>
      <c r="B20" s="9"/>
      <c r="C20" s="9"/>
      <c r="E20" s="47" t="s">
        <v>228</v>
      </c>
      <c r="F20" s="2"/>
      <c r="G20" s="3"/>
      <c r="I20" s="9"/>
      <c r="J20" s="9"/>
      <c r="K20" s="74">
        <f>SUM(K18:K19)</f>
        <v>154.665</v>
      </c>
      <c r="M20" s="22" t="s">
        <v>229</v>
      </c>
      <c r="N20" s="22">
        <v>30.0</v>
      </c>
      <c r="O20" s="22">
        <v>19.0</v>
      </c>
      <c r="Q20" s="15" t="s">
        <v>146</v>
      </c>
      <c r="R20" s="16">
        <v>300.0</v>
      </c>
      <c r="S20" s="16">
        <v>42.1</v>
      </c>
      <c r="U20" s="9"/>
      <c r="V20" s="9"/>
      <c r="W20" s="9"/>
      <c r="Y20" s="70" t="s">
        <v>20</v>
      </c>
      <c r="Z20" s="64">
        <v>6.0</v>
      </c>
      <c r="AA20" s="64">
        <v>1.0</v>
      </c>
    </row>
    <row r="21">
      <c r="A21" s="9"/>
      <c r="B21" s="9"/>
      <c r="C21" s="9"/>
      <c r="E21" s="49" t="s">
        <v>5</v>
      </c>
      <c r="F21" s="50" t="s">
        <v>6</v>
      </c>
      <c r="G21" s="50" t="s">
        <v>7</v>
      </c>
      <c r="I21" s="9"/>
      <c r="J21" s="9"/>
      <c r="K21" s="9"/>
      <c r="M21" s="11" t="s">
        <v>230</v>
      </c>
      <c r="N21" s="22">
        <v>9.0</v>
      </c>
      <c r="O21" s="22">
        <v>3.0</v>
      </c>
      <c r="Q21" s="15" t="s">
        <v>50</v>
      </c>
      <c r="R21" s="16">
        <v>752.0</v>
      </c>
      <c r="S21" s="16">
        <v>357.43</v>
      </c>
      <c r="U21" s="9"/>
      <c r="V21" s="9"/>
      <c r="W21" s="9"/>
      <c r="Y21" s="70" t="s">
        <v>83</v>
      </c>
      <c r="Z21" s="64">
        <v>2.0</v>
      </c>
      <c r="AA21" s="64">
        <v>1.0</v>
      </c>
    </row>
    <row r="22">
      <c r="A22" s="9"/>
      <c r="B22" s="9"/>
      <c r="C22" s="9"/>
      <c r="E22" s="54" t="s">
        <v>231</v>
      </c>
      <c r="F22" s="54">
        <v>80.0</v>
      </c>
      <c r="G22" s="54">
        <v>15.32</v>
      </c>
      <c r="I22" s="9"/>
      <c r="J22" s="9"/>
      <c r="K22" s="9"/>
      <c r="M22" s="11" t="s">
        <v>232</v>
      </c>
      <c r="N22" s="11">
        <v>4.0</v>
      </c>
      <c r="O22" s="22">
        <v>1.31</v>
      </c>
      <c r="Q22" s="9"/>
      <c r="R22" s="9"/>
      <c r="S22" s="9"/>
      <c r="U22" s="1" t="s">
        <v>207</v>
      </c>
      <c r="V22" s="2"/>
      <c r="W22" s="3"/>
      <c r="Y22" s="70" t="s">
        <v>206</v>
      </c>
      <c r="Z22" s="64">
        <v>1.0</v>
      </c>
      <c r="AA22" s="64">
        <v>1.0</v>
      </c>
    </row>
    <row r="23">
      <c r="A23" s="90" t="s">
        <v>219</v>
      </c>
      <c r="B23" s="2"/>
      <c r="C23" s="3"/>
      <c r="E23" s="54" t="s">
        <v>233</v>
      </c>
      <c r="F23" s="54">
        <v>25.0</v>
      </c>
      <c r="G23" s="54">
        <v>27.0</v>
      </c>
      <c r="I23" s="9"/>
      <c r="J23" s="9"/>
      <c r="K23" s="9"/>
      <c r="M23" s="22" t="s">
        <v>152</v>
      </c>
      <c r="N23" s="22">
        <v>20.0</v>
      </c>
      <c r="O23" s="37"/>
      <c r="Q23" s="4" t="s">
        <v>194</v>
      </c>
      <c r="R23" s="5"/>
      <c r="S23" s="6"/>
      <c r="U23" s="91" t="s">
        <v>5</v>
      </c>
      <c r="V23" s="67" t="s">
        <v>6</v>
      </c>
      <c r="W23" s="67" t="s">
        <v>7</v>
      </c>
      <c r="Y23" s="70" t="s">
        <v>234</v>
      </c>
      <c r="Z23" s="64">
        <v>10.0</v>
      </c>
      <c r="AA23" s="64">
        <v>3.34</v>
      </c>
    </row>
    <row r="24">
      <c r="A24" s="49" t="s">
        <v>5</v>
      </c>
      <c r="B24" s="50" t="s">
        <v>6</v>
      </c>
      <c r="C24" s="37"/>
      <c r="E24" s="54" t="s">
        <v>235</v>
      </c>
      <c r="F24" s="54">
        <v>350.0</v>
      </c>
      <c r="G24" s="54">
        <v>147.33</v>
      </c>
      <c r="I24" s="90" t="s">
        <v>187</v>
      </c>
      <c r="J24" s="2"/>
      <c r="K24" s="3"/>
      <c r="M24" s="22" t="s">
        <v>208</v>
      </c>
      <c r="N24" s="22">
        <v>4.0</v>
      </c>
      <c r="O24" s="22">
        <v>1.31</v>
      </c>
      <c r="Q24" s="79" t="s">
        <v>62</v>
      </c>
      <c r="R24" s="80" t="s">
        <v>17</v>
      </c>
      <c r="S24" s="80" t="s">
        <v>18</v>
      </c>
      <c r="U24" s="92" t="s">
        <v>236</v>
      </c>
      <c r="V24" s="93">
        <v>500.0</v>
      </c>
      <c r="W24" s="64">
        <v>42.0</v>
      </c>
      <c r="Y24" s="70" t="s">
        <v>237</v>
      </c>
      <c r="Z24" s="64">
        <v>3.5</v>
      </c>
      <c r="AA24" s="64">
        <v>1.0</v>
      </c>
    </row>
    <row r="25">
      <c r="A25" s="55" t="s">
        <v>238</v>
      </c>
      <c r="B25" s="54">
        <v>300.0</v>
      </c>
      <c r="C25" s="56">
        <v>132.31</v>
      </c>
      <c r="E25" s="54" t="s">
        <v>239</v>
      </c>
      <c r="F25" s="54">
        <v>70.0</v>
      </c>
      <c r="G25" s="54">
        <v>46.0</v>
      </c>
      <c r="I25" s="94" t="s">
        <v>5</v>
      </c>
      <c r="J25" s="56" t="s">
        <v>6</v>
      </c>
      <c r="K25" s="9"/>
      <c r="M25" s="11" t="s">
        <v>240</v>
      </c>
      <c r="N25" s="95">
        <v>1.0</v>
      </c>
      <c r="O25" s="22">
        <v>1.0</v>
      </c>
      <c r="Q25" s="15" t="s">
        <v>241</v>
      </c>
      <c r="R25" s="16">
        <v>100.0</v>
      </c>
      <c r="S25" s="16">
        <v>88.5</v>
      </c>
      <c r="U25" s="92" t="s">
        <v>237</v>
      </c>
      <c r="V25" s="93">
        <v>20.0</v>
      </c>
      <c r="W25" s="64">
        <v>2.0</v>
      </c>
      <c r="Y25" s="70" t="s">
        <v>242</v>
      </c>
      <c r="Z25" s="64">
        <v>5.0</v>
      </c>
      <c r="AA25" s="64">
        <v>2.0</v>
      </c>
    </row>
    <row r="26">
      <c r="A26" s="55" t="s">
        <v>229</v>
      </c>
      <c r="B26" s="54">
        <v>350.0</v>
      </c>
      <c r="C26" s="56">
        <v>221.42</v>
      </c>
      <c r="E26" s="54" t="s">
        <v>243</v>
      </c>
      <c r="F26" s="54">
        <v>10.0</v>
      </c>
      <c r="G26" s="54">
        <v>23.0</v>
      </c>
      <c r="I26" s="96" t="s">
        <v>244</v>
      </c>
      <c r="J26" s="56">
        <v>150.0</v>
      </c>
      <c r="K26" s="56">
        <v>19.0</v>
      </c>
      <c r="M26" s="35" t="s">
        <v>50</v>
      </c>
      <c r="N26" s="35">
        <f t="shared" ref="N26:O26" si="7">SUM(N20:N25)</f>
        <v>68</v>
      </c>
      <c r="O26" s="35">
        <f t="shared" si="7"/>
        <v>25.62</v>
      </c>
      <c r="Q26" s="15" t="s">
        <v>245</v>
      </c>
      <c r="R26" s="16">
        <v>50.0</v>
      </c>
      <c r="S26" s="16">
        <v>2.54</v>
      </c>
      <c r="U26" s="70" t="s">
        <v>20</v>
      </c>
      <c r="V26" s="64">
        <v>3.0</v>
      </c>
      <c r="W26" s="64">
        <v>1.0</v>
      </c>
      <c r="Y26" s="97" t="s">
        <v>50</v>
      </c>
      <c r="Z26" s="67">
        <f t="shared" ref="Z26:AA26" si="8">SUM(Z17:Z25)</f>
        <v>322.5</v>
      </c>
      <c r="AA26" s="67">
        <f t="shared" si="8"/>
        <v>138.34</v>
      </c>
    </row>
    <row r="27">
      <c r="A27" s="55" t="s">
        <v>237</v>
      </c>
      <c r="B27" s="54">
        <v>20.0</v>
      </c>
      <c r="C27" s="56">
        <v>2.21</v>
      </c>
      <c r="E27" s="54" t="s">
        <v>246</v>
      </c>
      <c r="F27" s="54">
        <v>25.0</v>
      </c>
      <c r="G27" s="54">
        <v>3.0</v>
      </c>
      <c r="I27" s="96" t="s">
        <v>121</v>
      </c>
      <c r="J27" s="56">
        <v>30.0</v>
      </c>
      <c r="K27" s="56">
        <v>10.0</v>
      </c>
      <c r="Q27" s="15" t="s">
        <v>247</v>
      </c>
      <c r="R27" s="16">
        <v>1.0</v>
      </c>
      <c r="S27" s="16">
        <v>0.1</v>
      </c>
      <c r="U27" s="70" t="s">
        <v>104</v>
      </c>
      <c r="V27" s="64">
        <v>5.0</v>
      </c>
      <c r="W27" s="64">
        <v>1.0</v>
      </c>
      <c r="Y27" s="9"/>
      <c r="Z27" s="9"/>
      <c r="AA27" s="9"/>
    </row>
    <row r="28">
      <c r="A28" s="50" t="s">
        <v>50</v>
      </c>
      <c r="B28" s="50">
        <f t="shared" ref="B28:C28" si="9">SUM(B25:B27)</f>
        <v>670</v>
      </c>
      <c r="C28" s="50">
        <f t="shared" si="9"/>
        <v>355.94</v>
      </c>
      <c r="E28" s="54" t="s">
        <v>248</v>
      </c>
      <c r="F28" s="54">
        <v>10.0</v>
      </c>
      <c r="G28" s="11">
        <v>3.14</v>
      </c>
      <c r="I28" s="96" t="s">
        <v>249</v>
      </c>
      <c r="J28" s="56">
        <v>30.0</v>
      </c>
      <c r="K28" s="56">
        <v>3.0</v>
      </c>
      <c r="M28" s="98" t="s">
        <v>250</v>
      </c>
      <c r="N28" s="3"/>
      <c r="Q28" s="15" t="s">
        <v>59</v>
      </c>
      <c r="R28" s="16">
        <v>151.0</v>
      </c>
      <c r="S28" s="16">
        <v>91.14</v>
      </c>
      <c r="U28" s="50" t="s">
        <v>50</v>
      </c>
      <c r="V28" s="99">
        <f t="shared" ref="V28:W28" si="10">SUM(V24:V27)</f>
        <v>528</v>
      </c>
      <c r="W28" s="99">
        <f t="shared" si="10"/>
        <v>46</v>
      </c>
      <c r="Y28" s="77"/>
      <c r="Z28" s="77"/>
      <c r="AA28" s="77"/>
    </row>
    <row r="29">
      <c r="A29" s="9"/>
      <c r="B29" s="9"/>
      <c r="C29" s="9"/>
      <c r="E29" s="54" t="s">
        <v>226</v>
      </c>
      <c r="F29" s="54">
        <v>300.0</v>
      </c>
      <c r="G29" s="54">
        <v>244.0</v>
      </c>
      <c r="I29" s="96" t="s">
        <v>251</v>
      </c>
      <c r="J29" s="56">
        <v>40.0</v>
      </c>
      <c r="K29" s="56">
        <v>5.11</v>
      </c>
      <c r="M29" s="41" t="s">
        <v>252</v>
      </c>
      <c r="N29" s="41" t="s">
        <v>103</v>
      </c>
      <c r="Q29" s="9"/>
      <c r="R29" s="9"/>
      <c r="S29" s="9"/>
      <c r="U29" s="9"/>
      <c r="V29" s="9"/>
      <c r="W29" s="9"/>
      <c r="Y29" s="81" t="s">
        <v>185</v>
      </c>
      <c r="Z29" s="82"/>
      <c r="AA29" s="83"/>
    </row>
    <row r="30">
      <c r="A30" s="9"/>
      <c r="B30" s="9"/>
      <c r="C30" s="9"/>
      <c r="E30" s="54" t="s">
        <v>152</v>
      </c>
      <c r="F30" s="54">
        <v>300.0</v>
      </c>
      <c r="G30" s="37"/>
      <c r="I30" s="96" t="s">
        <v>253</v>
      </c>
      <c r="J30" s="56">
        <v>40.0</v>
      </c>
      <c r="K30" s="56">
        <v>48.8</v>
      </c>
      <c r="M30" s="100" t="s">
        <v>254</v>
      </c>
      <c r="N30" s="100">
        <v>9.85</v>
      </c>
      <c r="Q30" s="4" t="s">
        <v>183</v>
      </c>
      <c r="R30" s="5"/>
      <c r="S30" s="6"/>
      <c r="U30" s="9"/>
      <c r="V30" s="9"/>
      <c r="W30" s="9"/>
      <c r="Y30" s="60" t="s">
        <v>5</v>
      </c>
      <c r="Z30" s="85" t="s">
        <v>6</v>
      </c>
      <c r="AA30" s="31" t="s">
        <v>7</v>
      </c>
    </row>
    <row r="31">
      <c r="A31" s="27" t="s">
        <v>201</v>
      </c>
      <c r="B31" s="2"/>
      <c r="C31" s="3"/>
      <c r="E31" s="54" t="s">
        <v>255</v>
      </c>
      <c r="F31" s="54">
        <v>30.0</v>
      </c>
      <c r="G31" s="54">
        <v>2.0</v>
      </c>
      <c r="I31" s="96" t="s">
        <v>20</v>
      </c>
      <c r="J31" s="56">
        <v>1.0</v>
      </c>
      <c r="K31" s="56">
        <v>1.0</v>
      </c>
      <c r="M31" s="100" t="s">
        <v>256</v>
      </c>
      <c r="N31" s="100">
        <v>5.0</v>
      </c>
      <c r="Q31" s="79" t="s">
        <v>62</v>
      </c>
      <c r="R31" s="80" t="s">
        <v>17</v>
      </c>
      <c r="S31" s="80" t="s">
        <v>18</v>
      </c>
      <c r="U31" s="9"/>
      <c r="V31" s="9"/>
      <c r="W31" s="9"/>
      <c r="Y31" s="70" t="s">
        <v>65</v>
      </c>
      <c r="Z31" s="64">
        <v>30.0</v>
      </c>
      <c r="AA31" s="64">
        <v>6.0</v>
      </c>
    </row>
    <row r="32">
      <c r="A32" s="7" t="s">
        <v>5</v>
      </c>
      <c r="B32" s="35" t="s">
        <v>6</v>
      </c>
      <c r="C32" s="35" t="s">
        <v>7</v>
      </c>
      <c r="E32" s="54" t="s">
        <v>257</v>
      </c>
      <c r="F32" s="54">
        <v>30.0</v>
      </c>
      <c r="G32" s="54">
        <v>8.0</v>
      </c>
      <c r="I32" s="50" t="s">
        <v>50</v>
      </c>
      <c r="J32" s="50">
        <f t="shared" ref="J32:K32" si="11">SUM(J26:J31)</f>
        <v>291</v>
      </c>
      <c r="K32" s="50">
        <f t="shared" si="11"/>
        <v>86.91</v>
      </c>
      <c r="M32" s="100" t="s">
        <v>258</v>
      </c>
      <c r="N32" s="100">
        <v>0.63</v>
      </c>
      <c r="Q32" s="15" t="s">
        <v>259</v>
      </c>
      <c r="R32" s="16">
        <v>50.0</v>
      </c>
      <c r="S32" s="16">
        <v>167.5</v>
      </c>
      <c r="U32" s="1" t="s">
        <v>236</v>
      </c>
      <c r="V32" s="2"/>
      <c r="W32" s="3"/>
      <c r="Y32" s="70" t="s">
        <v>260</v>
      </c>
      <c r="Z32" s="64">
        <v>5.0</v>
      </c>
      <c r="AA32" s="64">
        <v>1.0</v>
      </c>
    </row>
    <row r="33">
      <c r="A33" s="8" t="s">
        <v>261</v>
      </c>
      <c r="B33" s="22">
        <v>45.0</v>
      </c>
      <c r="C33" s="22">
        <v>750.23</v>
      </c>
      <c r="E33" s="50" t="s">
        <v>50</v>
      </c>
      <c r="F33" s="50">
        <f t="shared" ref="F33:G33" si="12">SUM(F22:F32)</f>
        <v>1230</v>
      </c>
      <c r="G33" s="50">
        <f t="shared" si="12"/>
        <v>518.79</v>
      </c>
      <c r="M33" s="100" t="s">
        <v>262</v>
      </c>
      <c r="N33" s="100">
        <v>1.95</v>
      </c>
      <c r="Q33" s="15" t="s">
        <v>263</v>
      </c>
      <c r="R33" s="16">
        <v>50.0</v>
      </c>
      <c r="S33" s="16">
        <v>2.0</v>
      </c>
      <c r="U33" s="91" t="s">
        <v>5</v>
      </c>
      <c r="V33" s="67" t="s">
        <v>6</v>
      </c>
      <c r="W33" s="67" t="s">
        <v>7</v>
      </c>
      <c r="Y33" s="70" t="s">
        <v>264</v>
      </c>
      <c r="Z33" s="64">
        <v>10.0</v>
      </c>
      <c r="AA33" s="64">
        <v>3.0</v>
      </c>
    </row>
    <row r="34">
      <c r="A34" s="8" t="s">
        <v>265</v>
      </c>
      <c r="B34" s="22">
        <v>250.0</v>
      </c>
      <c r="C34" s="11">
        <v>1338.57</v>
      </c>
      <c r="M34" s="100" t="s">
        <v>266</v>
      </c>
      <c r="N34" s="100">
        <v>0.66</v>
      </c>
      <c r="Q34" s="15" t="s">
        <v>152</v>
      </c>
      <c r="R34" s="16">
        <v>25.0</v>
      </c>
      <c r="S34" s="16">
        <v>0.0</v>
      </c>
      <c r="U34" s="92" t="s">
        <v>267</v>
      </c>
      <c r="V34" s="93">
        <v>500.0</v>
      </c>
      <c r="W34" s="64">
        <v>40.0</v>
      </c>
      <c r="Y34" s="70" t="s">
        <v>268</v>
      </c>
      <c r="Z34" s="64">
        <v>150.0</v>
      </c>
      <c r="AA34" s="64">
        <v>13.33</v>
      </c>
    </row>
    <row r="35">
      <c r="A35" s="50" t="s">
        <v>50</v>
      </c>
      <c r="B35" s="50">
        <f t="shared" ref="B35:C35" si="13">SUM(B33:B34)</f>
        <v>295</v>
      </c>
      <c r="C35" s="50">
        <f t="shared" si="13"/>
        <v>2088.8</v>
      </c>
      <c r="M35" s="100" t="s">
        <v>269</v>
      </c>
      <c r="N35" s="100">
        <v>17.7</v>
      </c>
      <c r="Q35" s="15" t="s">
        <v>270</v>
      </c>
      <c r="R35" s="16">
        <v>50.0</v>
      </c>
      <c r="S35" s="16">
        <v>7.5</v>
      </c>
      <c r="U35" s="92" t="s">
        <v>231</v>
      </c>
      <c r="V35" s="93">
        <v>600.0</v>
      </c>
      <c r="W35" s="64">
        <v>54.6</v>
      </c>
      <c r="Y35" s="70" t="s">
        <v>271</v>
      </c>
      <c r="Z35" s="64">
        <v>1.0</v>
      </c>
      <c r="AA35" s="64">
        <v>1.2</v>
      </c>
    </row>
    <row r="36">
      <c r="I36" s="101" t="s">
        <v>272</v>
      </c>
      <c r="J36" s="3"/>
      <c r="M36" s="100" t="s">
        <v>50</v>
      </c>
      <c r="N36" s="100" t="s">
        <v>273</v>
      </c>
      <c r="Q36" s="15" t="s">
        <v>50</v>
      </c>
      <c r="R36" s="16">
        <f>SUM(R32:R35)</f>
        <v>175</v>
      </c>
      <c r="S36" s="16">
        <v>177.0</v>
      </c>
      <c r="U36" s="50" t="s">
        <v>50</v>
      </c>
      <c r="V36" s="102">
        <f t="shared" ref="V36:W36" si="14">V34+V35</f>
        <v>1100</v>
      </c>
      <c r="W36" s="102">
        <f t="shared" si="14"/>
        <v>94.6</v>
      </c>
      <c r="Y36" s="70" t="s">
        <v>274</v>
      </c>
      <c r="Z36" s="64">
        <v>5.0</v>
      </c>
      <c r="AA36" s="64">
        <v>1.0</v>
      </c>
    </row>
    <row r="37">
      <c r="A37" s="101" t="s">
        <v>275</v>
      </c>
      <c r="B37" s="3"/>
      <c r="E37" s="101" t="s">
        <v>276</v>
      </c>
      <c r="F37" s="3"/>
      <c r="I37" s="41" t="s">
        <v>252</v>
      </c>
      <c r="J37" s="41" t="s">
        <v>103</v>
      </c>
      <c r="U37" s="9"/>
      <c r="V37" s="9"/>
      <c r="W37" s="9"/>
      <c r="Y37" s="70" t="s">
        <v>277</v>
      </c>
      <c r="Z37" s="64">
        <v>50.0</v>
      </c>
      <c r="AA37" s="64">
        <v>3.0</v>
      </c>
    </row>
    <row r="38">
      <c r="A38" s="41" t="s">
        <v>252</v>
      </c>
      <c r="B38" s="41" t="s">
        <v>103</v>
      </c>
      <c r="E38" s="41" t="s">
        <v>252</v>
      </c>
      <c r="F38" s="42" t="s">
        <v>103</v>
      </c>
      <c r="I38" s="100" t="s">
        <v>254</v>
      </c>
      <c r="J38" s="100">
        <v>9.85</v>
      </c>
      <c r="U38" s="9"/>
      <c r="V38" s="9"/>
      <c r="W38" s="9"/>
      <c r="Y38" s="70" t="s">
        <v>20</v>
      </c>
      <c r="Z38" s="64">
        <v>10.0</v>
      </c>
      <c r="AA38" s="64">
        <v>1.0</v>
      </c>
    </row>
    <row r="39">
      <c r="A39" s="100" t="s">
        <v>254</v>
      </c>
      <c r="B39" s="100">
        <v>9.85</v>
      </c>
      <c r="E39" s="43" t="s">
        <v>278</v>
      </c>
      <c r="F39" s="44">
        <v>7.35</v>
      </c>
      <c r="I39" s="100" t="s">
        <v>279</v>
      </c>
      <c r="J39" s="100">
        <v>6.78</v>
      </c>
      <c r="U39" s="1" t="s">
        <v>280</v>
      </c>
      <c r="V39" s="2"/>
      <c r="W39" s="3"/>
      <c r="Y39" s="70" t="s">
        <v>83</v>
      </c>
      <c r="Z39" s="64">
        <v>8.0</v>
      </c>
      <c r="AA39" s="64">
        <v>1.0</v>
      </c>
    </row>
    <row r="40">
      <c r="A40" s="100" t="s">
        <v>256</v>
      </c>
      <c r="B40" s="100">
        <v>5.0</v>
      </c>
      <c r="E40" s="43" t="s">
        <v>256</v>
      </c>
      <c r="F40" s="44">
        <v>5.0</v>
      </c>
      <c r="I40" s="100" t="s">
        <v>256</v>
      </c>
      <c r="J40" s="100">
        <v>5.0</v>
      </c>
      <c r="U40" s="7" t="s">
        <v>5</v>
      </c>
      <c r="V40" s="8" t="s">
        <v>6</v>
      </c>
      <c r="W40" s="8" t="s">
        <v>7</v>
      </c>
      <c r="Y40" s="70" t="s">
        <v>281</v>
      </c>
      <c r="Z40" s="64">
        <v>6.0</v>
      </c>
      <c r="AA40" s="64">
        <v>3.0</v>
      </c>
    </row>
    <row r="41">
      <c r="A41" s="100" t="s">
        <v>156</v>
      </c>
      <c r="B41" s="100">
        <v>0.63</v>
      </c>
      <c r="E41" s="43" t="s">
        <v>258</v>
      </c>
      <c r="F41" s="44">
        <v>0.63</v>
      </c>
      <c r="I41" s="100" t="s">
        <v>258</v>
      </c>
      <c r="J41" s="100">
        <v>0.63</v>
      </c>
      <c r="Q41" s="98" t="s">
        <v>163</v>
      </c>
      <c r="R41" s="3"/>
      <c r="U41" s="32" t="s">
        <v>282</v>
      </c>
      <c r="V41" s="32">
        <v>1000.0</v>
      </c>
      <c r="W41" s="11">
        <v>90.0</v>
      </c>
      <c r="Y41" s="70" t="s">
        <v>283</v>
      </c>
      <c r="Z41" s="64">
        <v>1.0</v>
      </c>
      <c r="AA41" s="64">
        <v>2.2</v>
      </c>
    </row>
    <row r="42">
      <c r="A42" s="100" t="s">
        <v>266</v>
      </c>
      <c r="B42" s="100">
        <v>0.66</v>
      </c>
      <c r="E42" s="43" t="s">
        <v>266</v>
      </c>
      <c r="F42" s="44">
        <v>0.66</v>
      </c>
      <c r="I42" s="100" t="s">
        <v>266</v>
      </c>
      <c r="J42" s="100">
        <v>0.66</v>
      </c>
      <c r="Q42" s="41" t="s">
        <v>252</v>
      </c>
      <c r="R42" s="41" t="s">
        <v>103</v>
      </c>
      <c r="U42" s="32" t="s">
        <v>100</v>
      </c>
      <c r="V42" s="32">
        <v>20.0</v>
      </c>
      <c r="W42" s="11">
        <v>1.0</v>
      </c>
      <c r="Y42" s="70" t="s">
        <v>284</v>
      </c>
      <c r="Z42" s="64">
        <v>10.0</v>
      </c>
      <c r="AA42" s="64">
        <v>3.0</v>
      </c>
    </row>
    <row r="43">
      <c r="A43" s="100" t="s">
        <v>269</v>
      </c>
      <c r="B43" s="100">
        <v>17.7</v>
      </c>
      <c r="E43" s="43" t="s">
        <v>269</v>
      </c>
      <c r="F43" s="44">
        <v>17.7</v>
      </c>
      <c r="I43" s="100" t="s">
        <v>269</v>
      </c>
      <c r="J43" s="100">
        <v>17.7</v>
      </c>
      <c r="Q43" s="103" t="s">
        <v>252</v>
      </c>
      <c r="R43" s="104" t="s">
        <v>103</v>
      </c>
      <c r="U43" s="8" t="s">
        <v>50</v>
      </c>
      <c r="V43" s="8">
        <f t="shared" ref="V43:W43" si="15">SUM(V41:V42)</f>
        <v>1020</v>
      </c>
      <c r="W43" s="8">
        <f t="shared" si="15"/>
        <v>91</v>
      </c>
      <c r="Y43" s="70" t="s">
        <v>117</v>
      </c>
      <c r="Z43" s="64">
        <v>20.0</v>
      </c>
      <c r="AA43" s="64">
        <v>6.0</v>
      </c>
    </row>
    <row r="44">
      <c r="A44" s="41" t="s">
        <v>50</v>
      </c>
      <c r="B44" s="41" t="s">
        <v>285</v>
      </c>
      <c r="E44" s="43" t="s">
        <v>50</v>
      </c>
      <c r="F44" s="44" t="s">
        <v>286</v>
      </c>
      <c r="I44" s="100" t="s">
        <v>50</v>
      </c>
      <c r="J44" s="100" t="s">
        <v>287</v>
      </c>
      <c r="Q44" s="105" t="s">
        <v>279</v>
      </c>
      <c r="R44" s="106">
        <v>6.78</v>
      </c>
      <c r="U44" s="9"/>
      <c r="V44" s="9"/>
      <c r="W44" s="9"/>
      <c r="Y44" s="70" t="s">
        <v>121</v>
      </c>
      <c r="Z44" s="64">
        <v>5.0</v>
      </c>
      <c r="AA44" s="64">
        <v>1.0</v>
      </c>
    </row>
    <row r="45">
      <c r="Q45" s="105" t="s">
        <v>256</v>
      </c>
      <c r="R45" s="106">
        <v>5.0</v>
      </c>
      <c r="U45" s="1" t="s">
        <v>288</v>
      </c>
      <c r="V45" s="2"/>
      <c r="W45" s="3"/>
      <c r="Y45" s="70" t="s">
        <v>289</v>
      </c>
      <c r="Z45" s="64">
        <v>3.0</v>
      </c>
      <c r="AA45" s="64">
        <v>1.0</v>
      </c>
    </row>
    <row r="46">
      <c r="Q46" s="105" t="s">
        <v>290</v>
      </c>
      <c r="R46" s="106">
        <v>0.63</v>
      </c>
      <c r="U46" s="7" t="s">
        <v>5</v>
      </c>
      <c r="V46" s="8" t="s">
        <v>6</v>
      </c>
      <c r="W46" s="8" t="s">
        <v>7</v>
      </c>
      <c r="Y46" s="97" t="s">
        <v>50</v>
      </c>
      <c r="Z46" s="67">
        <f t="shared" ref="Z46:AA46" si="16">SUM(Z31:Z45)</f>
        <v>314</v>
      </c>
      <c r="AA46" s="67">
        <f t="shared" si="16"/>
        <v>46.73</v>
      </c>
    </row>
    <row r="47">
      <c r="Q47" s="105" t="s">
        <v>266</v>
      </c>
      <c r="R47" s="106">
        <v>0.66</v>
      </c>
      <c r="U47" s="26" t="s">
        <v>291</v>
      </c>
      <c r="V47" s="26">
        <v>500.0</v>
      </c>
      <c r="W47" s="11">
        <v>46.0</v>
      </c>
      <c r="Y47" s="77"/>
      <c r="Z47" s="77"/>
      <c r="AA47" s="77"/>
    </row>
    <row r="48">
      <c r="Q48" s="105" t="s">
        <v>269</v>
      </c>
      <c r="R48" s="106">
        <v>17.7</v>
      </c>
      <c r="U48" s="26" t="s">
        <v>68</v>
      </c>
      <c r="V48" s="26">
        <v>100.0</v>
      </c>
      <c r="W48" s="11">
        <v>5.1</v>
      </c>
      <c r="Y48" s="107" t="s">
        <v>220</v>
      </c>
      <c r="Z48" s="82"/>
      <c r="AA48" s="83"/>
    </row>
    <row r="49">
      <c r="Q49" s="105" t="s">
        <v>50</v>
      </c>
      <c r="R49" s="106" t="s">
        <v>292</v>
      </c>
      <c r="U49" s="26" t="s">
        <v>20</v>
      </c>
      <c r="V49" s="26">
        <v>20.0</v>
      </c>
      <c r="W49" s="11">
        <v>1.0</v>
      </c>
      <c r="Y49" s="60" t="s">
        <v>5</v>
      </c>
      <c r="Z49" s="61" t="s">
        <v>6</v>
      </c>
      <c r="AA49" s="67" t="s">
        <v>7</v>
      </c>
    </row>
    <row r="50">
      <c r="U50" s="26" t="s">
        <v>73</v>
      </c>
      <c r="V50" s="26">
        <v>200.0</v>
      </c>
      <c r="W50" s="11">
        <v>6.0</v>
      </c>
      <c r="Y50" s="108" t="s">
        <v>90</v>
      </c>
      <c r="Z50" s="69">
        <v>120.0</v>
      </c>
      <c r="AA50" s="64">
        <v>23.0</v>
      </c>
    </row>
    <row r="51">
      <c r="U51" s="8" t="s">
        <v>50</v>
      </c>
      <c r="V51" s="11">
        <v>525.0</v>
      </c>
      <c r="W51" s="8">
        <f>SUM(W47:W50)</f>
        <v>58.1</v>
      </c>
      <c r="Y51" s="108" t="s">
        <v>293</v>
      </c>
      <c r="Z51" s="69">
        <v>30.0</v>
      </c>
      <c r="AA51" s="64">
        <v>3.0</v>
      </c>
    </row>
    <row r="52">
      <c r="U52" s="9"/>
      <c r="V52" s="9"/>
      <c r="W52" s="9"/>
      <c r="Y52" s="108" t="s">
        <v>20</v>
      </c>
      <c r="Z52" s="69">
        <v>2.0</v>
      </c>
      <c r="AA52" s="64">
        <v>1.0</v>
      </c>
    </row>
    <row r="53">
      <c r="U53" s="9"/>
      <c r="V53" s="9"/>
      <c r="W53" s="9"/>
      <c r="Y53" s="97" t="s">
        <v>50</v>
      </c>
      <c r="Z53" s="67">
        <f t="shared" ref="Z53:AA53" si="17">SUM(Z50:Z52)</f>
        <v>152</v>
      </c>
      <c r="AA53" s="67">
        <f t="shared" si="17"/>
        <v>27</v>
      </c>
    </row>
    <row r="54">
      <c r="U54" s="9"/>
      <c r="V54" s="9"/>
      <c r="W54" s="9"/>
    </row>
    <row r="55">
      <c r="U55" s="1" t="s">
        <v>294</v>
      </c>
      <c r="V55" s="2"/>
      <c r="W55" s="3"/>
    </row>
    <row r="56">
      <c r="U56" s="7" t="s">
        <v>5</v>
      </c>
      <c r="V56" s="35" t="s">
        <v>6</v>
      </c>
      <c r="W56" s="35" t="s">
        <v>7</v>
      </c>
    </row>
    <row r="57">
      <c r="U57" s="22" t="s">
        <v>295</v>
      </c>
      <c r="V57" s="22">
        <v>200.0</v>
      </c>
      <c r="W57" s="22">
        <v>100.0</v>
      </c>
    </row>
    <row r="58">
      <c r="U58" s="22" t="s">
        <v>296</v>
      </c>
      <c r="V58" s="22">
        <v>200.0</v>
      </c>
      <c r="W58" s="22">
        <v>47.14</v>
      </c>
    </row>
    <row r="59">
      <c r="U59" s="22" t="s">
        <v>297</v>
      </c>
      <c r="V59" s="22">
        <v>5.0</v>
      </c>
      <c r="W59" s="22">
        <v>2.2</v>
      </c>
      <c r="Y59" s="109" t="s">
        <v>298</v>
      </c>
    </row>
    <row r="60">
      <c r="U60" s="22" t="s">
        <v>20</v>
      </c>
      <c r="V60" s="22">
        <v>2.0</v>
      </c>
      <c r="W60" s="22">
        <v>1.0</v>
      </c>
      <c r="Y60" s="110" t="s">
        <v>252</v>
      </c>
      <c r="Z60" s="111" t="s">
        <v>103</v>
      </c>
    </row>
    <row r="61">
      <c r="U61" s="22" t="s">
        <v>240</v>
      </c>
      <c r="V61" s="22">
        <v>2.0</v>
      </c>
      <c r="W61" s="22">
        <v>2.0</v>
      </c>
      <c r="Y61" s="109" t="s">
        <v>254</v>
      </c>
      <c r="Z61" s="111">
        <v>9.85</v>
      </c>
    </row>
    <row r="62">
      <c r="U62" s="35" t="s">
        <v>50</v>
      </c>
      <c r="V62" s="35">
        <f t="shared" ref="V62:W62" si="18">SUM(V55:V61)</f>
        <v>409</v>
      </c>
      <c r="W62" s="35">
        <f t="shared" si="18"/>
        <v>152.34</v>
      </c>
      <c r="Y62" s="109" t="s">
        <v>256</v>
      </c>
      <c r="Z62" s="111">
        <v>5.0</v>
      </c>
    </row>
    <row r="63">
      <c r="Y63" s="109" t="s">
        <v>258</v>
      </c>
      <c r="Z63" s="111">
        <v>0.63</v>
      </c>
    </row>
    <row r="64">
      <c r="U64" s="98" t="s">
        <v>299</v>
      </c>
      <c r="V64" s="3"/>
      <c r="Y64" s="109" t="s">
        <v>262</v>
      </c>
      <c r="Z64" s="111">
        <v>1.95</v>
      </c>
    </row>
    <row r="65">
      <c r="U65" s="41" t="s">
        <v>252</v>
      </c>
      <c r="V65" s="41" t="s">
        <v>103</v>
      </c>
      <c r="Y65" s="109" t="s">
        <v>266</v>
      </c>
      <c r="Z65" s="111">
        <v>0.66</v>
      </c>
    </row>
    <row r="66">
      <c r="U66" s="100" t="s">
        <v>254</v>
      </c>
      <c r="V66" s="100">
        <v>9.85</v>
      </c>
      <c r="Y66" s="109" t="s">
        <v>269</v>
      </c>
      <c r="Z66" s="111">
        <v>17.7</v>
      </c>
    </row>
    <row r="67">
      <c r="U67" s="100" t="s">
        <v>256</v>
      </c>
      <c r="V67" s="100">
        <v>5.0</v>
      </c>
      <c r="Y67" s="109" t="s">
        <v>50</v>
      </c>
      <c r="Z67" s="111" t="s">
        <v>273</v>
      </c>
    </row>
    <row r="68">
      <c r="U68" s="100" t="s">
        <v>300</v>
      </c>
      <c r="V68" s="100">
        <v>3.54</v>
      </c>
    </row>
    <row r="69">
      <c r="U69" s="100" t="s">
        <v>258</v>
      </c>
      <c r="V69" s="100">
        <v>0.63</v>
      </c>
    </row>
    <row r="70">
      <c r="U70" s="100" t="s">
        <v>262</v>
      </c>
      <c r="V70" s="100">
        <v>1.95</v>
      </c>
    </row>
    <row r="71">
      <c r="U71" s="100" t="s">
        <v>266</v>
      </c>
      <c r="V71" s="100">
        <v>0.66</v>
      </c>
    </row>
    <row r="72">
      <c r="U72" s="100" t="s">
        <v>269</v>
      </c>
      <c r="V72" s="100">
        <v>17.7</v>
      </c>
    </row>
    <row r="73">
      <c r="U73" s="105" t="s">
        <v>50</v>
      </c>
      <c r="V73" s="106" t="s">
        <v>301</v>
      </c>
    </row>
  </sheetData>
  <mergeCells count="30">
    <mergeCell ref="A1:C1"/>
    <mergeCell ref="E1:G1"/>
    <mergeCell ref="I1:K1"/>
    <mergeCell ref="M1:O1"/>
    <mergeCell ref="Q1:S1"/>
    <mergeCell ref="U1:W1"/>
    <mergeCell ref="Y2:AA2"/>
    <mergeCell ref="Q3:S3"/>
    <mergeCell ref="Q14:S14"/>
    <mergeCell ref="Y15:AA15"/>
    <mergeCell ref="M18:O18"/>
    <mergeCell ref="E20:G20"/>
    <mergeCell ref="U22:W22"/>
    <mergeCell ref="A23:C23"/>
    <mergeCell ref="Q23:S23"/>
    <mergeCell ref="I24:K24"/>
    <mergeCell ref="M28:N28"/>
    <mergeCell ref="Y29:AA29"/>
    <mergeCell ref="Q30:S30"/>
    <mergeCell ref="A31:C31"/>
    <mergeCell ref="U32:W32"/>
    <mergeCell ref="U55:W55"/>
    <mergeCell ref="U64:V64"/>
    <mergeCell ref="I36:J36"/>
    <mergeCell ref="A37:B37"/>
    <mergeCell ref="E37:F37"/>
    <mergeCell ref="U39:W39"/>
    <mergeCell ref="Q41:R41"/>
    <mergeCell ref="U45:W45"/>
    <mergeCell ref="Y48:AA48"/>
  </mergeCells>
  <drawing r:id="rId1"/>
</worksheet>
</file>